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hidePivotFieldList="1" defaultThemeVersion="202300"/>
  <mc:AlternateContent xmlns:mc="http://schemas.openxmlformats.org/markup-compatibility/2006">
    <mc:Choice Requires="x15">
      <x15ac:absPath xmlns:x15ac="http://schemas.microsoft.com/office/spreadsheetml/2010/11/ac" url="https://d.docs.live.net/0eb40e740da652d3/Documents/Excel 2025/personal dashboard/"/>
    </mc:Choice>
  </mc:AlternateContent>
  <xr:revisionPtr revIDLastSave="326" documentId="14_{E8DB5E96-49C5-4C63-AF39-A3535A250035}" xr6:coauthVersionLast="47" xr6:coauthVersionMax="47" xr10:uidLastSave="{1C39DB48-6894-481B-938C-6922715B92EB}"/>
  <bookViews>
    <workbookView xWindow="-120" yWindow="-120" windowWidth="29040" windowHeight="15720" xr2:uid="{E2078421-755B-4FE4-BD48-68A3637CCFCF}"/>
  </bookViews>
  <sheets>
    <sheet name="DASHBOARD" sheetId="6" r:id="rId1"/>
    <sheet name="ANALYSIS" sheetId="3" r:id="rId2"/>
    <sheet name="DATA" sheetId="2" r:id="rId3"/>
  </sheets>
  <definedNames>
    <definedName name="_xleta.SUMIF" hidden="1" xlm="1">#NAME?</definedName>
    <definedName name="_xleta.UNICHAR" hidden="1" xlm="1">#NAME?</definedName>
    <definedName name="ExternalData_1" localSheetId="2" hidden="1">DATA!$A$1:$K$354</definedName>
    <definedName name="NativeTimeline_Date">#N/A</definedName>
    <definedName name="Slicer_Brand">#N/A</definedName>
    <definedName name="Slicer_Country">#N/A</definedName>
    <definedName name="Slicer_Product_Type">#N/A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 r:id="rId7"/>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8"/>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34" i="3" l="1"/>
  <c r="I36" i="3" s="1"/>
  <c r="F29" i="3"/>
  <c r="F22" i="3"/>
  <c r="J34" i="3"/>
  <c r="G29" i="3"/>
  <c r="G22" i="3"/>
  <c r="J36" i="3" l="1"/>
  <c r="L2" i="2" l="1"/>
  <c r="L3" i="2"/>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L61" i="2"/>
  <c r="L62" i="2"/>
  <c r="L63" i="2"/>
  <c r="L64" i="2"/>
  <c r="L65" i="2"/>
  <c r="L66" i="2"/>
  <c r="L67" i="2"/>
  <c r="L68" i="2"/>
  <c r="L69" i="2"/>
  <c r="L70" i="2"/>
  <c r="L71" i="2"/>
  <c r="L72" i="2"/>
  <c r="L73" i="2"/>
  <c r="L74" i="2"/>
  <c r="L75" i="2"/>
  <c r="L76" i="2"/>
  <c r="L77" i="2"/>
  <c r="L78" i="2"/>
  <c r="L79" i="2"/>
  <c r="L80" i="2"/>
  <c r="L81" i="2"/>
  <c r="L82" i="2"/>
  <c r="L83" i="2"/>
  <c r="L84" i="2"/>
  <c r="L85" i="2"/>
  <c r="L86" i="2"/>
  <c r="L87" i="2"/>
  <c r="L88" i="2"/>
  <c r="L89" i="2"/>
  <c r="L90" i="2"/>
  <c r="L91" i="2"/>
  <c r="L92" i="2"/>
  <c r="L93" i="2"/>
  <c r="L94" i="2"/>
  <c r="L95" i="2"/>
  <c r="L96" i="2"/>
  <c r="L97" i="2"/>
  <c r="L98" i="2"/>
  <c r="L99" i="2"/>
  <c r="L100" i="2"/>
  <c r="L101" i="2"/>
  <c r="L102" i="2"/>
  <c r="L103" i="2"/>
  <c r="L104" i="2"/>
  <c r="L105" i="2"/>
  <c r="L106" i="2"/>
  <c r="L107" i="2"/>
  <c r="L108" i="2"/>
  <c r="L109" i="2"/>
  <c r="L110" i="2"/>
  <c r="L111" i="2"/>
  <c r="L112" i="2"/>
  <c r="L113" i="2"/>
  <c r="L114" i="2"/>
  <c r="L115" i="2"/>
  <c r="L116" i="2"/>
  <c r="L117" i="2"/>
  <c r="L118" i="2"/>
  <c r="L119" i="2"/>
  <c r="L120" i="2"/>
  <c r="L121" i="2"/>
  <c r="L122" i="2"/>
  <c r="L123" i="2"/>
  <c r="L124" i="2"/>
  <c r="L125" i="2"/>
  <c r="L126" i="2"/>
  <c r="L127" i="2"/>
  <c r="L128" i="2"/>
  <c r="L129" i="2"/>
  <c r="L130" i="2"/>
  <c r="L131" i="2"/>
  <c r="L132" i="2"/>
  <c r="L133" i="2"/>
  <c r="L134" i="2"/>
  <c r="L135" i="2"/>
  <c r="L136" i="2"/>
  <c r="L137" i="2"/>
  <c r="L138" i="2"/>
  <c r="L139" i="2"/>
  <c r="L140" i="2"/>
  <c r="L141" i="2"/>
  <c r="L142" i="2"/>
  <c r="L143" i="2"/>
  <c r="L144" i="2"/>
  <c r="L145" i="2"/>
  <c r="L146" i="2"/>
  <c r="L147" i="2"/>
  <c r="L148" i="2"/>
  <c r="L149" i="2"/>
  <c r="L150" i="2"/>
  <c r="L151" i="2"/>
  <c r="L152" i="2"/>
  <c r="L153" i="2"/>
  <c r="L154" i="2"/>
  <c r="L155" i="2"/>
  <c r="L156" i="2"/>
  <c r="L157" i="2"/>
  <c r="L158" i="2"/>
  <c r="L159" i="2"/>
  <c r="L160" i="2"/>
  <c r="L161" i="2"/>
  <c r="L162" i="2"/>
  <c r="L163" i="2"/>
  <c r="L164" i="2"/>
  <c r="L165" i="2"/>
  <c r="L166" i="2"/>
  <c r="L167" i="2"/>
  <c r="L168" i="2"/>
  <c r="L169" i="2"/>
  <c r="L170" i="2"/>
  <c r="L171" i="2"/>
  <c r="L172" i="2"/>
  <c r="L173" i="2"/>
  <c r="L174" i="2"/>
  <c r="L175" i="2"/>
  <c r="L176" i="2"/>
  <c r="L177" i="2"/>
  <c r="L178" i="2"/>
  <c r="L179" i="2"/>
  <c r="L180" i="2"/>
  <c r="L181" i="2"/>
  <c r="L182" i="2"/>
  <c r="L183" i="2"/>
  <c r="L184" i="2"/>
  <c r="L185" i="2"/>
  <c r="L186" i="2"/>
  <c r="L187" i="2"/>
  <c r="L188" i="2"/>
  <c r="L189" i="2"/>
  <c r="L190" i="2"/>
  <c r="L191" i="2"/>
  <c r="L192" i="2"/>
  <c r="L193" i="2"/>
  <c r="L194" i="2"/>
  <c r="L195" i="2"/>
  <c r="L196" i="2"/>
  <c r="L197" i="2"/>
  <c r="L198" i="2"/>
  <c r="L199" i="2"/>
  <c r="L200" i="2"/>
  <c r="L201" i="2"/>
  <c r="L202" i="2"/>
  <c r="L203" i="2"/>
  <c r="L204" i="2"/>
  <c r="L205" i="2"/>
  <c r="L206" i="2"/>
  <c r="L207" i="2"/>
  <c r="L208" i="2"/>
  <c r="L209" i="2"/>
  <c r="L210" i="2"/>
  <c r="L211" i="2"/>
  <c r="L212" i="2"/>
  <c r="L213" i="2"/>
  <c r="L214" i="2"/>
  <c r="L215" i="2"/>
  <c r="L216" i="2"/>
  <c r="L217" i="2"/>
  <c r="L218" i="2"/>
  <c r="L219" i="2"/>
  <c r="L220" i="2"/>
  <c r="L221" i="2"/>
  <c r="L222" i="2"/>
  <c r="L223" i="2"/>
  <c r="L224" i="2"/>
  <c r="L225" i="2"/>
  <c r="L226" i="2"/>
  <c r="L227" i="2"/>
  <c r="L228" i="2"/>
  <c r="L229" i="2"/>
  <c r="L230" i="2"/>
  <c r="L231" i="2"/>
  <c r="L232" i="2"/>
  <c r="L233" i="2"/>
  <c r="L234" i="2"/>
  <c r="L235" i="2"/>
  <c r="L236" i="2"/>
  <c r="L237" i="2"/>
  <c r="L238" i="2"/>
  <c r="L239" i="2"/>
  <c r="L240" i="2"/>
  <c r="L241" i="2"/>
  <c r="L242" i="2"/>
  <c r="L243" i="2"/>
  <c r="L244" i="2"/>
  <c r="L245" i="2"/>
  <c r="L246" i="2"/>
  <c r="L247" i="2"/>
  <c r="L248" i="2"/>
  <c r="L249" i="2"/>
  <c r="L250" i="2"/>
  <c r="L251" i="2"/>
  <c r="L252" i="2"/>
  <c r="L253" i="2"/>
  <c r="L254" i="2"/>
  <c r="L255" i="2"/>
  <c r="L256" i="2"/>
  <c r="L257" i="2"/>
  <c r="L258" i="2"/>
  <c r="L259" i="2"/>
  <c r="L260" i="2"/>
  <c r="L261" i="2"/>
  <c r="L262" i="2"/>
  <c r="L263" i="2"/>
  <c r="L264" i="2"/>
  <c r="L265" i="2"/>
  <c r="L266" i="2"/>
  <c r="L267" i="2"/>
  <c r="L268" i="2"/>
  <c r="L269" i="2"/>
  <c r="L270" i="2"/>
  <c r="L271" i="2"/>
  <c r="L272" i="2"/>
  <c r="L273" i="2"/>
  <c r="L274" i="2"/>
  <c r="L275" i="2"/>
  <c r="L276" i="2"/>
  <c r="L277" i="2"/>
  <c r="L278" i="2"/>
  <c r="L279" i="2"/>
  <c r="L280" i="2"/>
  <c r="L281" i="2"/>
  <c r="L282" i="2"/>
  <c r="L283" i="2"/>
  <c r="L284" i="2"/>
  <c r="L285" i="2"/>
  <c r="L286" i="2"/>
  <c r="L287" i="2"/>
  <c r="L288" i="2"/>
  <c r="L289" i="2"/>
  <c r="L290" i="2"/>
  <c r="L291" i="2"/>
  <c r="L292" i="2"/>
  <c r="L293" i="2"/>
  <c r="L294" i="2"/>
  <c r="L295" i="2"/>
  <c r="L296" i="2"/>
  <c r="L297" i="2"/>
  <c r="L298" i="2"/>
  <c r="L299" i="2"/>
  <c r="L300" i="2"/>
  <c r="L301" i="2"/>
  <c r="L302" i="2"/>
  <c r="L303" i="2"/>
  <c r="L304" i="2"/>
  <c r="L305" i="2"/>
  <c r="L306" i="2"/>
  <c r="L307" i="2"/>
  <c r="L308" i="2"/>
  <c r="L309" i="2"/>
  <c r="L310" i="2"/>
  <c r="L311" i="2"/>
  <c r="L312" i="2"/>
  <c r="L313" i="2"/>
  <c r="L314" i="2"/>
  <c r="L315" i="2"/>
  <c r="L316" i="2"/>
  <c r="L317" i="2"/>
  <c r="L318" i="2"/>
  <c r="L319" i="2"/>
  <c r="L320" i="2"/>
  <c r="L321" i="2"/>
  <c r="L322" i="2"/>
  <c r="L323" i="2"/>
  <c r="L324" i="2"/>
  <c r="L325" i="2"/>
  <c r="L326" i="2"/>
  <c r="L327" i="2"/>
  <c r="L328" i="2"/>
  <c r="L329" i="2"/>
  <c r="L330" i="2"/>
  <c r="L331" i="2"/>
  <c r="L332" i="2"/>
  <c r="L333" i="2"/>
  <c r="L334" i="2"/>
  <c r="L335" i="2"/>
  <c r="L336" i="2"/>
  <c r="L337" i="2"/>
  <c r="L338" i="2"/>
  <c r="L339" i="2"/>
  <c r="L340" i="2"/>
  <c r="L341" i="2"/>
  <c r="L342" i="2"/>
  <c r="L343" i="2"/>
  <c r="L344" i="2"/>
  <c r="L345" i="2"/>
  <c r="L346" i="2"/>
  <c r="L347" i="2"/>
  <c r="L348" i="2"/>
  <c r="L349" i="2"/>
  <c r="L350" i="2"/>
  <c r="L351" i="2"/>
  <c r="L352" i="2"/>
  <c r="L353" i="2"/>
  <c r="L354" i="2"/>
  <c r="G8" i="3"/>
  <c r="G12" i="3"/>
  <c r="F15" i="3"/>
  <c r="G15" i="3"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F9AB3D7-B416-4D63-A78C-31BA675627D5}" keepAlive="1" name="Query - sneakers_streetwear_sales_data" description="Connection to the 'sneakers_streetwear_sales_data' query in the workbook." type="5" refreshedVersion="8" background="1" saveData="1">
    <dbPr connection="Provider=Microsoft.Mashup.OleDb.1;Data Source=$Workbook$;Location=sneakers_streetwear_sales_data;Extended Properties=&quot;&quot;" command="SELECT * FROM [sneakers_streetwear_sales_data]"/>
  </connection>
</connections>
</file>

<file path=xl/sharedStrings.xml><?xml version="1.0" encoding="utf-8"?>
<sst xmlns="http://schemas.openxmlformats.org/spreadsheetml/2006/main" count="2561" uniqueCount="78">
  <si>
    <t>Date</t>
  </si>
  <si>
    <t>Product Name</t>
  </si>
  <si>
    <t>Product Type</t>
  </si>
  <si>
    <t>Brand</t>
  </si>
  <si>
    <t>Gender</t>
  </si>
  <si>
    <t>Category</t>
  </si>
  <si>
    <t>Country</t>
  </si>
  <si>
    <t>Quantity</t>
  </si>
  <si>
    <t>Unit Price ($)</t>
  </si>
  <si>
    <t>Amount ($)</t>
  </si>
  <si>
    <t>Payment Mode</t>
  </si>
  <si>
    <t>Fear of God Essentials Tee</t>
  </si>
  <si>
    <t>T-shirt</t>
  </si>
  <si>
    <t>Essentials</t>
  </si>
  <si>
    <t>Unisex</t>
  </si>
  <si>
    <t>Limited Edition</t>
  </si>
  <si>
    <t>Japan</t>
  </si>
  <si>
    <t>Card</t>
  </si>
  <si>
    <t>Yeezy Boost 350</t>
  </si>
  <si>
    <t>Sneakers</t>
  </si>
  <si>
    <t>Adidas</t>
  </si>
  <si>
    <t>Streetwear</t>
  </si>
  <si>
    <t>USA</t>
  </si>
  <si>
    <t>Cash on Delivery</t>
  </si>
  <si>
    <t>Nike Dunk Low</t>
  </si>
  <si>
    <t>Nike</t>
  </si>
  <si>
    <t>Women</t>
  </si>
  <si>
    <t>Germany</t>
  </si>
  <si>
    <t>Nike Tech Fleece</t>
  </si>
  <si>
    <t>Hoodie</t>
  </si>
  <si>
    <t>Men</t>
  </si>
  <si>
    <t>Jordan 1 High</t>
  </si>
  <si>
    <t>Casual</t>
  </si>
  <si>
    <t>Australia</t>
  </si>
  <si>
    <t>UK</t>
  </si>
  <si>
    <t>UPI</t>
  </si>
  <si>
    <t>Wallet</t>
  </si>
  <si>
    <t>Off-White Hoodie</t>
  </si>
  <si>
    <t>Off-White</t>
  </si>
  <si>
    <t>Canada</t>
  </si>
  <si>
    <t>Sportswear</t>
  </si>
  <si>
    <t>Supreme Hoodie</t>
  </si>
  <si>
    <t>Supreme</t>
  </si>
  <si>
    <t>India</t>
  </si>
  <si>
    <t>Adidas Ultraboost</t>
  </si>
  <si>
    <t>New Era Cap</t>
  </si>
  <si>
    <t>Cap</t>
  </si>
  <si>
    <t>New Era</t>
  </si>
  <si>
    <t>Puma Joggers</t>
  </si>
  <si>
    <t>Joggers</t>
  </si>
  <si>
    <t>Puma</t>
  </si>
  <si>
    <t>TOP COUNTRIES</t>
  </si>
  <si>
    <t>TOP BRANDS</t>
  </si>
  <si>
    <t>Profit</t>
  </si>
  <si>
    <t>Sum of Amount ($)</t>
  </si>
  <si>
    <t>KPI</t>
  </si>
  <si>
    <t>TOTAL SALES REVENUE</t>
  </si>
  <si>
    <t>TOTAL QUANTITY SOLD</t>
  </si>
  <si>
    <t>Sum of Quantity</t>
  </si>
  <si>
    <t>Average Order Value</t>
  </si>
  <si>
    <t>TOP BRAND</t>
  </si>
  <si>
    <t>Row Labels</t>
  </si>
  <si>
    <t>Grand Total</t>
  </si>
  <si>
    <t>TOP COUNTRY</t>
  </si>
  <si>
    <t>CHARTS</t>
  </si>
  <si>
    <t>SALES TREND OVER TIME</t>
  </si>
  <si>
    <t>Ene</t>
  </si>
  <si>
    <t>Feb</t>
  </si>
  <si>
    <t>Mar</t>
  </si>
  <si>
    <t>Abr</t>
  </si>
  <si>
    <t>May</t>
  </si>
  <si>
    <t>Jun</t>
  </si>
  <si>
    <t>Jul</t>
  </si>
  <si>
    <t>Ago</t>
  </si>
  <si>
    <t>SALES BY COUNTRY</t>
  </si>
  <si>
    <t>SALES BY PAYMENT MODE</t>
  </si>
  <si>
    <t>SALES BY PRODUCT CATEGORY</t>
  </si>
  <si>
    <t>TOP MONTH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</si>
</sst>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gt;=1000000]\$0.0,,&quot;M&quot;;[&gt;=1000]\$0.0,&quot;K&quot;;0"/>
    <numFmt numFmtId="165" formatCode="[&gt;=1000000]\$0,,&quot;M&quot;;[&gt;=1000]\$0,&quot;K&quot;;0"/>
    <numFmt numFmtId="166" formatCode="[&gt;=1000000]\$0.0,,&quot;M&quot;;[&gt;=1000]\$0.0,&quot;K&quot;;\$0"/>
    <numFmt numFmtId="167" formatCode="[&gt;=1000000]\$0.000,,&quot;M&quot;;[&gt;=1000]\$0.000,&quot;K&quot;;\$0.00"/>
  </numFmts>
  <fonts count="1" x14ac:knownFonts="1">
    <font>
      <sz val="11"/>
      <color theme="1"/>
      <name val="Aptos Narrow"/>
      <family val="2"/>
      <scheme val="minor"/>
    </font>
  </fonts>
  <fills count="3">
    <fill>
      <patternFill patternType="none"/>
    </fill>
    <fill>
      <patternFill patternType="gray125"/>
    </fill>
    <fill>
      <patternFill patternType="solid">
        <fgColor theme="2" tint="-0.249977111117893"/>
        <bgColor indexed="64"/>
      </patternFill>
    </fill>
  </fills>
  <borders count="1">
    <border>
      <left/>
      <right/>
      <top/>
      <bottom/>
      <diagonal/>
    </border>
  </borders>
  <cellStyleXfs count="1">
    <xf numFmtId="0" fontId="0" fillId="0" borderId="0"/>
  </cellStyleXfs>
  <cellXfs count="12">
    <xf numFmtId="0" fontId="0" fillId="0" borderId="0" xfId="0"/>
    <xf numFmtId="14" fontId="0" fillId="0" borderId="0" xfId="0" applyNumberFormat="1"/>
    <xf numFmtId="0" fontId="0" fillId="0" borderId="0" xfId="0" pivotButton="1"/>
    <xf numFmtId="0" fontId="0" fillId="0" borderId="0" xfId="0" applyAlignment="1">
      <alignment horizontal="left"/>
    </xf>
    <xf numFmtId="164" fontId="0" fillId="0" borderId="0" xfId="0" applyNumberFormat="1"/>
    <xf numFmtId="165" fontId="0" fillId="0" borderId="0" xfId="0" applyNumberFormat="1"/>
    <xf numFmtId="166" fontId="0" fillId="0" borderId="0" xfId="0" applyNumberFormat="1"/>
    <xf numFmtId="167" fontId="0" fillId="0" borderId="0" xfId="0" applyNumberFormat="1"/>
    <xf numFmtId="166" fontId="0" fillId="0" borderId="0" xfId="0" pivotButton="1" applyNumberFormat="1"/>
    <xf numFmtId="166" fontId="0" fillId="0" borderId="0" xfId="0" applyNumberFormat="1" applyAlignment="1">
      <alignment horizontal="left"/>
    </xf>
    <xf numFmtId="0" fontId="0" fillId="2" borderId="0" xfId="0" applyFill="1"/>
    <xf numFmtId="0" fontId="0" fillId="0" borderId="0" xfId="0" applyNumberFormat="1"/>
  </cellXfs>
  <cellStyles count="1">
    <cellStyle name="Normal" xfId="0" builtinId="0"/>
  </cellStyles>
  <dxfs count="220">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5" formatCode="[&gt;=1000000]\$0,,&quot;M&quot;;[&gt;=1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5" formatCode="[&gt;=1000000]\$0,,&quot;M&quot;;[&gt;=1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5" formatCode="[&gt;=1000000]\$0,,&quot;M&quot;;[&gt;=1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5" formatCode="[&gt;=1000000]\$0,,&quot;M&quot;;[&gt;=1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5" formatCode="[&gt;=1000000]\$0,,&quot;M&quot;;[&gt;=1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5" formatCode="[&gt;=1000000]\$0,,&quot;M&quot;;[&gt;=1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5" formatCode="[&gt;=1000000]\$0,,&quot;M&quot;;[&gt;=1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mm/yyyy"/>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5" formatCode="[&gt;=1000000]\$0,,&quot;M&quot;;[&gt;=1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5" formatCode="[&gt;=1000000]\$0,,&quot;M&quot;;[&gt;=1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font>
        <b/>
        <sz val="11"/>
        <color theme="1"/>
      </font>
    </dxf>
    <dxf>
      <fill>
        <patternFill patternType="solid">
          <fgColor theme="0"/>
          <bgColor rgb="FF272B2F"/>
        </patternFill>
      </fill>
      <border diagonalUp="0" diagonalDown="0">
        <left/>
        <right/>
        <top/>
        <bottom/>
        <vertical/>
        <horizontal/>
      </border>
    </dxf>
    <dxf>
      <font>
        <b/>
        <i val="0"/>
        <sz val="10"/>
        <color theme="0"/>
      </font>
      <fill>
        <patternFill>
          <bgColor rgb="FF272B2F"/>
        </patternFill>
      </fill>
    </dxf>
    <dxf>
      <font>
        <b/>
        <i val="0"/>
        <sz val="11"/>
        <color theme="0"/>
      </font>
      <fill>
        <patternFill>
          <bgColor rgb="FF272B2F"/>
        </patternFill>
      </fill>
    </dxf>
  </dxfs>
  <tableStyles count="3" defaultTableStyle="TableStyleMedium2" defaultPivotStyle="PivotStyleLight16">
    <tableStyle name="Slicer Style 1" pivot="0" table="0" count="5" xr9:uid="{6AC907E4-7E63-4F07-915F-C3C1B000990F}">
      <tableStyleElement type="wholeTable" dxfId="219"/>
    </tableStyle>
    <tableStyle name="Slicer Style 1 2" pivot="0" table="0" count="5" xr9:uid="{A64E0C06-1FEB-40D6-A725-7AE1BCDC42C9}">
      <tableStyleElement type="wholeTable" dxfId="218"/>
    </tableStyle>
    <tableStyle name="Timeline Style 1" pivot="0" table="0" count="8" xr9:uid="{51E4BF77-2730-4B0C-B896-706FC4F9F4C8}">
      <tableStyleElement type="wholeTable" dxfId="217"/>
      <tableStyleElement type="headerRow" dxfId="216"/>
    </tableStyle>
  </tableStyles>
  <colors>
    <mruColors>
      <color rgb="FFF17925"/>
      <color rgb="FF272B2F"/>
      <color rgb="FFF49452"/>
      <color rgb="FFF8BE96"/>
      <color rgb="FF222322"/>
      <color rgb="FFFAD3B8"/>
      <color rgb="FFBF4340"/>
      <color rgb="FFD68E18"/>
      <color rgb="FFE8A32F"/>
      <color rgb="FFFA5D43"/>
    </mruColors>
  </colors>
  <extLst>
    <ext xmlns:x14="http://schemas.microsoft.com/office/spreadsheetml/2009/9/main" uri="{46F421CA-312F-682f-3DD2-61675219B42D}">
      <x14:dxfs count="8">
        <dxf>
          <fill>
            <patternFill>
              <bgColor rgb="FFF49452"/>
            </patternFill>
          </fill>
        </dxf>
        <dxf>
          <fill>
            <patternFill>
              <bgColor rgb="FFFAD3B8"/>
            </patternFill>
          </fill>
        </dxf>
        <dxf>
          <fill>
            <patternFill>
              <bgColor rgb="FFF17925"/>
            </patternFill>
          </fill>
        </dxf>
        <dxf>
          <fill>
            <patternFill>
              <bgColor rgb="FFF8BE96"/>
            </patternFill>
          </fill>
        </dxf>
        <dxf>
          <fill>
            <patternFill>
              <bgColor rgb="FFF49452"/>
            </patternFill>
          </fill>
        </dxf>
        <dxf>
          <fill>
            <patternFill>
              <bgColor rgb="FFFAD3B8"/>
            </patternFill>
          </fill>
        </dxf>
        <dxf>
          <fill>
            <patternFill>
              <bgColor rgb="FFF17925"/>
            </patternFill>
          </fill>
        </dxf>
        <dxf>
          <fill>
            <patternFill>
              <bgColor rgb="FFF8BE96"/>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7"/>
            <x14:slicerStyleElement type="selectedItemWithData" dxfId="6"/>
            <x14:slicerStyleElement type="hoveredUnselectedItemWithData" dxfId="5"/>
            <x14:slicerStyleElement type="hoveredSelectedItemWithData" dxfId="4"/>
          </x14:slicerStyleElements>
        </x14:slicerStyle>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A0A4C193-F2C1-4fcb-8827-314CF55A85BB}">
      <x15:dxfs count="6">
        <dxf>
          <fill>
            <patternFill patternType="solid">
              <fgColor theme="0" tint="-0.14996795556505021"/>
              <bgColor rgb="FFF8BE96"/>
            </patternFill>
          </fill>
        </dxf>
        <dxf>
          <fill>
            <patternFill patternType="solid">
              <fgColor theme="0"/>
              <bgColor rgb="FFF17925"/>
            </patternFill>
          </fill>
        </dxf>
        <dxf>
          <font>
            <sz val="9"/>
            <color theme="1" tint="0.499984740745262"/>
          </font>
        </dxf>
        <dxf>
          <font>
            <sz val="9"/>
            <color theme="1" tint="0.499984740745262"/>
          </font>
        </dxf>
        <dxf>
          <font>
            <sz val="9"/>
            <color theme="1" tint="0.499984740745262"/>
          </font>
        </dxf>
        <dxf>
          <font>
            <sz val="10"/>
            <color theme="1" tint="0.499984740745262"/>
          </font>
        </dxf>
      </x15:dxfs>
    </ext>
    <ext xmlns:x15="http://schemas.microsoft.com/office/spreadsheetml/2010/11/main" uri="{9260A510-F301-46a8-8635-F512D64BE5F5}">
      <x15:timelineStyles defaultTimelineStyle="TimeSlicerStyleLight1">
        <x15:timelineStyle name="Timeline Style 1">
          <x15:timelineStyleElements>
            <x15:timelineStyleElement type="selectionLabel" dxfId="5"/>
            <x15:timelineStyleElement type="timeLevel" dxfId="4"/>
            <x15:timelineStyleElement type="periodLabel1" dxfId="3"/>
            <x15:timelineStyleElement type="periodLabel2" dxfId="2"/>
            <x15:timelineStyleElement type="selectedTimeBlock" dxfId="1"/>
            <x15:timelineStyleElement type="unselectedTimeBlock" dxfId="0"/>
          </x15:timelineStyleElements>
        </x15:timelineStyle>
      </x15:timelineStyles>
    </ext>
  </extLst>
</styleSheet>
</file>

<file path=xl/_rels/workbook.xml.rels><?xml version="1.0" encoding="UTF-8" standalone="yes"?>
<Relationships xmlns="http://schemas.openxmlformats.org/package/2006/relationships"><Relationship Id="rId8" Type="http://schemas.microsoft.com/office/2011/relationships/timelineCache" Target="timelineCaches/timelineCache1.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styles" Target="styles.xml"/><Relationship Id="rId5" Type="http://schemas.microsoft.com/office/2007/relationships/slicerCache" Target="slicerCaches/slicerCache1.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pivotCacheDefinition" Target="pivotCache/pivotCacheDefinition1.xml"/><Relationship Id="rId9" Type="http://schemas.openxmlformats.org/officeDocument/2006/relationships/theme" Target="theme/theme1.xml"/><Relationship Id="rId14"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 Dashboard.xlsm]ANALYSIS!PivotTable7</c:name>
    <c:fmtId val="3"/>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FA5D43"/>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alpha val="64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ANALYSIS!$J$7</c:f>
              <c:strCache>
                <c:ptCount val="1"/>
                <c:pt idx="0">
                  <c:v>Total</c:v>
                </c:pt>
              </c:strCache>
            </c:strRef>
          </c:tx>
          <c:spPr>
            <a:ln w="28575" cap="rnd">
              <a:solidFill>
                <a:srgbClr val="FA5D43"/>
              </a:solidFill>
              <a:round/>
            </a:ln>
            <a:effectLst/>
          </c:spPr>
          <c:marker>
            <c:symbol val="none"/>
          </c:marker>
          <c:cat>
            <c:strRef>
              <c:f>ANALYSIS!$I$8:$I$16</c:f>
              <c:strCache>
                <c:ptCount val="8"/>
                <c:pt idx="0">
                  <c:v>Ene</c:v>
                </c:pt>
                <c:pt idx="1">
                  <c:v>Feb</c:v>
                </c:pt>
                <c:pt idx="2">
                  <c:v>Mar</c:v>
                </c:pt>
                <c:pt idx="3">
                  <c:v>Abr</c:v>
                </c:pt>
                <c:pt idx="4">
                  <c:v>May</c:v>
                </c:pt>
                <c:pt idx="5">
                  <c:v>Jun</c:v>
                </c:pt>
                <c:pt idx="6">
                  <c:v>Jul</c:v>
                </c:pt>
                <c:pt idx="7">
                  <c:v>Ago</c:v>
                </c:pt>
              </c:strCache>
            </c:strRef>
          </c:cat>
          <c:val>
            <c:numRef>
              <c:f>ANALYSIS!$J$8:$J$16</c:f>
              <c:numCache>
                <c:formatCode>[&gt;=1000000]\$0.0,,"M";[&gt;=1000]\$0.0,"K";\$0</c:formatCode>
                <c:ptCount val="8"/>
                <c:pt idx="0">
                  <c:v>23067.919999999987</c:v>
                </c:pt>
                <c:pt idx="1">
                  <c:v>20393.53999999999</c:v>
                </c:pt>
                <c:pt idx="2">
                  <c:v>29043.180000000008</c:v>
                </c:pt>
                <c:pt idx="3">
                  <c:v>17176.879999999997</c:v>
                </c:pt>
                <c:pt idx="4">
                  <c:v>20397.439999999999</c:v>
                </c:pt>
                <c:pt idx="5">
                  <c:v>26089.220000000005</c:v>
                </c:pt>
                <c:pt idx="6">
                  <c:v>32073.430000000004</c:v>
                </c:pt>
                <c:pt idx="7">
                  <c:v>24861.460000000006</c:v>
                </c:pt>
              </c:numCache>
            </c:numRef>
          </c:val>
          <c:smooth val="1"/>
          <c:extLst>
            <c:ext xmlns:c16="http://schemas.microsoft.com/office/drawing/2014/chart" uri="{C3380CC4-5D6E-409C-BE32-E72D297353CC}">
              <c16:uniqueId val="{00000000-F6AF-4224-8BFF-107B0ED43BFB}"/>
            </c:ext>
          </c:extLst>
        </c:ser>
        <c:dLbls>
          <c:showLegendKey val="0"/>
          <c:showVal val="0"/>
          <c:showCatName val="0"/>
          <c:showSerName val="0"/>
          <c:showPercent val="0"/>
          <c:showBubbleSize val="0"/>
        </c:dLbls>
        <c:dropLines>
          <c:spPr>
            <a:ln w="9525" cap="flat" cmpd="sng" algn="ctr">
              <a:solidFill>
                <a:srgbClr val="F17925">
                  <a:alpha val="33000"/>
                </a:srgbClr>
              </a:solidFill>
              <a:round/>
            </a:ln>
            <a:effectLst/>
          </c:spPr>
        </c:dropLines>
        <c:smooth val="0"/>
        <c:axId val="220102848"/>
        <c:axId val="220099488"/>
      </c:lineChart>
      <c:catAx>
        <c:axId val="22010284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alpha val="64000"/>
                  </a:schemeClr>
                </a:solidFill>
                <a:latin typeface="+mn-lt"/>
                <a:ea typeface="+mn-ea"/>
                <a:cs typeface="+mn-cs"/>
              </a:defRPr>
            </a:pPr>
            <a:endParaRPr lang="en-US"/>
          </a:p>
        </c:txPr>
        <c:crossAx val="220099488"/>
        <c:crosses val="autoZero"/>
        <c:auto val="1"/>
        <c:lblAlgn val="ctr"/>
        <c:lblOffset val="100"/>
        <c:noMultiLvlLbl val="0"/>
      </c:catAx>
      <c:valAx>
        <c:axId val="220099488"/>
        <c:scaling>
          <c:orientation val="minMax"/>
        </c:scaling>
        <c:delete val="0"/>
        <c:axPos val="l"/>
        <c:majorGridlines>
          <c:spPr>
            <a:ln w="9525" cap="flat" cmpd="sng" algn="ctr">
              <a:solidFill>
                <a:schemeClr val="tx1">
                  <a:lumMod val="15000"/>
                  <a:lumOff val="85000"/>
                  <a:alpha val="22000"/>
                </a:schemeClr>
              </a:solidFill>
              <a:prstDash val="dash"/>
              <a:round/>
            </a:ln>
            <a:effectLst/>
          </c:spPr>
        </c:majorGridlines>
        <c:numFmt formatCode="[&gt;=1000000]\$0.0,,&quot;M&quot;;[&gt;=1000]\$0.0,&quot;K&quot;;\$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alpha val="64000"/>
                  </a:schemeClr>
                </a:solidFill>
                <a:latin typeface="+mn-lt"/>
                <a:ea typeface="+mn-ea"/>
                <a:cs typeface="+mn-cs"/>
              </a:defRPr>
            </a:pPr>
            <a:endParaRPr lang="en-US"/>
          </a:p>
        </c:txPr>
        <c:crossAx val="220102848"/>
        <c:crosses val="autoZero"/>
        <c:crossBetween val="between"/>
      </c:valAx>
      <c:spPr>
        <a:noFill/>
        <a:ln>
          <a:noFill/>
          <a:prstDash val="dash"/>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solidFill>
            <a:schemeClr val="bg1">
              <a:alpha val="64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 Dashboard.xlsm]ANALYSIS!PivotTable8</c:name>
    <c:fmtId val="3"/>
  </c:pivotSource>
  <c:chart>
    <c:autoTitleDeleted val="1"/>
    <c:pivotFmts>
      <c:pivotFmt>
        <c:idx val="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rgbClr val="F1792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alpha val="64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F17925"/>
          </a:solidFill>
          <a:ln>
            <a:noFill/>
          </a:ln>
          <a:effectLst/>
        </c:spPr>
      </c:pivotFmt>
      <c:pivotFmt>
        <c:idx val="4"/>
        <c:spPr>
          <a:solidFill>
            <a:srgbClr val="F17925"/>
          </a:solidFill>
          <a:ln>
            <a:noFill/>
          </a:ln>
          <a:effectLst/>
        </c:spPr>
      </c:pivotFmt>
      <c:pivotFmt>
        <c:idx val="5"/>
        <c:spPr>
          <a:solidFill>
            <a:srgbClr val="F17925"/>
          </a:solidFill>
          <a:ln>
            <a:noFill/>
          </a:ln>
          <a:effectLst/>
        </c:spPr>
      </c:pivotFmt>
      <c:pivotFmt>
        <c:idx val="6"/>
        <c:spPr>
          <a:solidFill>
            <a:srgbClr val="F17925"/>
          </a:solidFill>
          <a:ln>
            <a:noFill/>
          </a:ln>
          <a:effectLst/>
        </c:spPr>
      </c:pivotFmt>
      <c:pivotFmt>
        <c:idx val="7"/>
        <c:spPr>
          <a:solidFill>
            <a:srgbClr val="F17925"/>
          </a:solidFill>
          <a:ln>
            <a:noFill/>
          </a:ln>
          <a:effectLst/>
        </c:spPr>
      </c:pivotFmt>
      <c:pivotFmt>
        <c:idx val="8"/>
        <c:spPr>
          <a:solidFill>
            <a:srgbClr val="F17925"/>
          </a:solidFill>
          <a:ln>
            <a:noFill/>
          </a:ln>
          <a:effectLst/>
        </c:spPr>
      </c:pivotFmt>
      <c:pivotFmt>
        <c:idx val="9"/>
        <c:spPr>
          <a:solidFill>
            <a:srgbClr val="F17925"/>
          </a:solidFill>
          <a:ln>
            <a:noFill/>
          </a:ln>
          <a:effectLst/>
        </c:spPr>
      </c:pivotFmt>
    </c:pivotFmts>
    <c:plotArea>
      <c:layout/>
      <c:barChart>
        <c:barDir val="bar"/>
        <c:grouping val="clustered"/>
        <c:varyColors val="1"/>
        <c:ser>
          <c:idx val="0"/>
          <c:order val="0"/>
          <c:tx>
            <c:strRef>
              <c:f>ANALYSIS!$M$7</c:f>
              <c:strCache>
                <c:ptCount val="1"/>
                <c:pt idx="0">
                  <c:v>Total</c:v>
                </c:pt>
              </c:strCache>
            </c:strRef>
          </c:tx>
          <c:spPr>
            <a:solidFill>
              <a:srgbClr val="F17925"/>
            </a:solidFill>
            <a:effectLst/>
          </c:spPr>
          <c:invertIfNegative val="0"/>
          <c:dPt>
            <c:idx val="0"/>
            <c:invertIfNegative val="0"/>
            <c:bubble3D val="0"/>
            <c:spPr>
              <a:solidFill>
                <a:srgbClr val="F17925"/>
              </a:solidFill>
              <a:ln>
                <a:noFill/>
              </a:ln>
              <a:effectLst/>
            </c:spPr>
            <c:extLst>
              <c:ext xmlns:c16="http://schemas.microsoft.com/office/drawing/2014/chart" uri="{C3380CC4-5D6E-409C-BE32-E72D297353CC}">
                <c16:uniqueId val="{00000001-AF9A-422E-A57A-34071CE5BB16}"/>
              </c:ext>
            </c:extLst>
          </c:dPt>
          <c:dPt>
            <c:idx val="1"/>
            <c:invertIfNegative val="0"/>
            <c:bubble3D val="0"/>
            <c:spPr>
              <a:solidFill>
                <a:srgbClr val="F17925"/>
              </a:solidFill>
              <a:ln>
                <a:noFill/>
              </a:ln>
              <a:effectLst/>
            </c:spPr>
            <c:extLst>
              <c:ext xmlns:c16="http://schemas.microsoft.com/office/drawing/2014/chart" uri="{C3380CC4-5D6E-409C-BE32-E72D297353CC}">
                <c16:uniqueId val="{00000003-AF9A-422E-A57A-34071CE5BB16}"/>
              </c:ext>
            </c:extLst>
          </c:dPt>
          <c:dPt>
            <c:idx val="2"/>
            <c:invertIfNegative val="0"/>
            <c:bubble3D val="0"/>
            <c:spPr>
              <a:solidFill>
                <a:srgbClr val="F17925"/>
              </a:solidFill>
              <a:ln>
                <a:noFill/>
              </a:ln>
              <a:effectLst/>
            </c:spPr>
            <c:extLst>
              <c:ext xmlns:c16="http://schemas.microsoft.com/office/drawing/2014/chart" uri="{C3380CC4-5D6E-409C-BE32-E72D297353CC}">
                <c16:uniqueId val="{00000005-AF9A-422E-A57A-34071CE5BB16}"/>
              </c:ext>
            </c:extLst>
          </c:dPt>
          <c:dPt>
            <c:idx val="3"/>
            <c:invertIfNegative val="0"/>
            <c:bubble3D val="0"/>
            <c:spPr>
              <a:solidFill>
                <a:srgbClr val="F17925"/>
              </a:solidFill>
              <a:ln>
                <a:noFill/>
              </a:ln>
              <a:effectLst/>
            </c:spPr>
            <c:extLst>
              <c:ext xmlns:c16="http://schemas.microsoft.com/office/drawing/2014/chart" uri="{C3380CC4-5D6E-409C-BE32-E72D297353CC}">
                <c16:uniqueId val="{00000007-AF9A-422E-A57A-34071CE5BB16}"/>
              </c:ext>
            </c:extLst>
          </c:dPt>
          <c:dPt>
            <c:idx val="4"/>
            <c:invertIfNegative val="0"/>
            <c:bubble3D val="0"/>
            <c:spPr>
              <a:solidFill>
                <a:srgbClr val="F17925"/>
              </a:solidFill>
              <a:ln>
                <a:noFill/>
              </a:ln>
              <a:effectLst/>
            </c:spPr>
            <c:extLst>
              <c:ext xmlns:c16="http://schemas.microsoft.com/office/drawing/2014/chart" uri="{C3380CC4-5D6E-409C-BE32-E72D297353CC}">
                <c16:uniqueId val="{00000009-AF9A-422E-A57A-34071CE5BB16}"/>
              </c:ext>
            </c:extLst>
          </c:dPt>
          <c:dPt>
            <c:idx val="5"/>
            <c:invertIfNegative val="0"/>
            <c:bubble3D val="0"/>
            <c:spPr>
              <a:solidFill>
                <a:srgbClr val="F17925"/>
              </a:solidFill>
              <a:ln>
                <a:noFill/>
              </a:ln>
              <a:effectLst/>
            </c:spPr>
            <c:extLst>
              <c:ext xmlns:c16="http://schemas.microsoft.com/office/drawing/2014/chart" uri="{C3380CC4-5D6E-409C-BE32-E72D297353CC}">
                <c16:uniqueId val="{0000000B-AF9A-422E-A57A-34071CE5BB16}"/>
              </c:ext>
            </c:extLst>
          </c:dPt>
          <c:dPt>
            <c:idx val="6"/>
            <c:invertIfNegative val="0"/>
            <c:bubble3D val="0"/>
            <c:spPr>
              <a:solidFill>
                <a:srgbClr val="F17925"/>
              </a:solidFill>
              <a:ln>
                <a:noFill/>
              </a:ln>
              <a:effectLst/>
            </c:spPr>
            <c:extLst>
              <c:ext xmlns:c16="http://schemas.microsoft.com/office/drawing/2014/chart" uri="{C3380CC4-5D6E-409C-BE32-E72D297353CC}">
                <c16:uniqueId val="{0000000D-AF9A-422E-A57A-34071CE5BB16}"/>
              </c:ext>
            </c:extLst>
          </c:dPt>
          <c:cat>
            <c:strRef>
              <c:f>ANALYSIS!$L$8:$L$15</c:f>
              <c:strCache>
                <c:ptCount val="7"/>
                <c:pt idx="0">
                  <c:v>India</c:v>
                </c:pt>
                <c:pt idx="1">
                  <c:v>Australia</c:v>
                </c:pt>
                <c:pt idx="2">
                  <c:v>USA</c:v>
                </c:pt>
                <c:pt idx="3">
                  <c:v>UK</c:v>
                </c:pt>
                <c:pt idx="4">
                  <c:v>Germany</c:v>
                </c:pt>
                <c:pt idx="5">
                  <c:v>Canada</c:v>
                </c:pt>
                <c:pt idx="6">
                  <c:v>Japan</c:v>
                </c:pt>
              </c:strCache>
            </c:strRef>
          </c:cat>
          <c:val>
            <c:numRef>
              <c:f>ANALYSIS!$M$8:$M$15</c:f>
              <c:numCache>
                <c:formatCode>[&gt;=1000000]\$0.0,,"M";[&gt;=1000]\$0.0,"K";\$0</c:formatCode>
                <c:ptCount val="7"/>
                <c:pt idx="0">
                  <c:v>20912.740000000002</c:v>
                </c:pt>
                <c:pt idx="1">
                  <c:v>24094.020000000008</c:v>
                </c:pt>
                <c:pt idx="2">
                  <c:v>26095.589999999993</c:v>
                </c:pt>
                <c:pt idx="3">
                  <c:v>29739.249999999996</c:v>
                </c:pt>
                <c:pt idx="4">
                  <c:v>29822.889999999996</c:v>
                </c:pt>
                <c:pt idx="5">
                  <c:v>30851.189999999991</c:v>
                </c:pt>
                <c:pt idx="6">
                  <c:v>31587.390000000003</c:v>
                </c:pt>
              </c:numCache>
            </c:numRef>
          </c:val>
          <c:extLst>
            <c:ext xmlns:c16="http://schemas.microsoft.com/office/drawing/2014/chart" uri="{C3380CC4-5D6E-409C-BE32-E72D297353CC}">
              <c16:uniqueId val="{00000000-953C-4D39-9B26-030B371394E5}"/>
            </c:ext>
          </c:extLst>
        </c:ser>
        <c:dLbls>
          <c:showLegendKey val="0"/>
          <c:showVal val="0"/>
          <c:showCatName val="0"/>
          <c:showSerName val="0"/>
          <c:showPercent val="0"/>
          <c:showBubbleSize val="0"/>
        </c:dLbls>
        <c:gapWidth val="250"/>
        <c:axId val="221744144"/>
        <c:axId val="221760944"/>
      </c:barChart>
      <c:catAx>
        <c:axId val="221744144"/>
        <c:scaling>
          <c:orientation val="minMax"/>
        </c:scaling>
        <c:delete val="0"/>
        <c:axPos val="l"/>
        <c:numFmt formatCode="General"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defRPr sz="800" b="1" i="0" u="none" strike="noStrike" kern="1200" baseline="0">
                <a:solidFill>
                  <a:schemeClr val="bg1">
                    <a:alpha val="64000"/>
                  </a:schemeClr>
                </a:solidFill>
                <a:latin typeface="+mn-lt"/>
                <a:ea typeface="+mn-ea"/>
                <a:cs typeface="+mn-cs"/>
              </a:defRPr>
            </a:pPr>
            <a:endParaRPr lang="en-US"/>
          </a:p>
        </c:txPr>
        <c:crossAx val="221760944"/>
        <c:crosses val="autoZero"/>
        <c:auto val="1"/>
        <c:lblAlgn val="ctr"/>
        <c:lblOffset val="100"/>
        <c:noMultiLvlLbl val="0"/>
      </c:catAx>
      <c:valAx>
        <c:axId val="221760944"/>
        <c:scaling>
          <c:orientation val="minMax"/>
        </c:scaling>
        <c:delete val="0"/>
        <c:axPos val="b"/>
        <c:numFmt formatCode="[&gt;=1000000]\$0.0,,&quot;M&quot;;[&gt;=1000]\$0,&quot;K&quot;;\$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alpha val="64000"/>
                  </a:schemeClr>
                </a:solidFill>
                <a:latin typeface="+mn-lt"/>
                <a:ea typeface="+mn-ea"/>
                <a:cs typeface="+mn-cs"/>
              </a:defRPr>
            </a:pPr>
            <a:endParaRPr lang="en-US"/>
          </a:p>
        </c:txPr>
        <c:crossAx val="22174414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solidFill>
            <a:schemeClr val="bg1">
              <a:alpha val="64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 Dashboard.xlsm]ANALYSIS!PivotTable10</c:name>
    <c:fmtId val="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F17925"/>
          </a:solidFill>
          <a:ln w="19050">
            <a:solidFill>
              <a:schemeClr val="lt1"/>
            </a:solidFill>
          </a:ln>
          <a:effectLst/>
        </c:spP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E8A32F"/>
          </a:solidFill>
          <a:ln w="19050">
            <a:solidFill>
              <a:schemeClr val="lt1"/>
            </a:solidFill>
          </a:ln>
          <a:effectLst/>
        </c:spP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BF4340"/>
          </a:solidFill>
          <a:ln w="19050">
            <a:solidFill>
              <a:schemeClr val="lt1"/>
            </a:solidFill>
          </a:ln>
          <a:effectLst/>
        </c:spP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222322"/>
          </a:solidFill>
          <a:ln w="19050">
            <a:solidFill>
              <a:schemeClr val="lt1"/>
            </a:solidFill>
          </a:ln>
          <a:effectLst/>
        </c:spP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F17925"/>
          </a:solidFill>
          <a:ln w="19050">
            <a:solidFill>
              <a:schemeClr val="lt1"/>
            </a:solidFill>
          </a:ln>
          <a:effectLst/>
        </c:spPr>
      </c:pivotFmt>
      <c:pivotFmt>
        <c:idx val="7"/>
        <c:spPr>
          <a:solidFill>
            <a:srgbClr val="BF4340"/>
          </a:solidFill>
          <a:ln w="19050">
            <a:solidFill>
              <a:schemeClr val="lt1"/>
            </a:solidFill>
          </a:ln>
          <a:effectLst/>
        </c:spPr>
      </c:pivotFmt>
      <c:pivotFmt>
        <c:idx val="8"/>
        <c:spPr>
          <a:solidFill>
            <a:srgbClr val="222322"/>
          </a:solidFill>
          <a:ln w="19050">
            <a:solidFill>
              <a:schemeClr val="lt1"/>
            </a:solidFill>
          </a:ln>
          <a:effectLst/>
        </c:spPr>
      </c:pivotFmt>
      <c:pivotFmt>
        <c:idx val="9"/>
        <c:spPr>
          <a:solidFill>
            <a:srgbClr val="E8A32F"/>
          </a:solidFill>
          <a:ln w="19050">
            <a:solidFill>
              <a:schemeClr val="lt1"/>
            </a:solidFill>
          </a:ln>
          <a:effectLst/>
        </c:spPr>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overflow" horzOverflow="overflow" vert="horz" wrap="square" anchor="ctr" anchorCtr="1">
              <a:noAutofit/>
            </a:bodyPr>
            <a:lstStyle/>
            <a:p>
              <a:pPr>
                <a:defRPr sz="1200" b="1" i="0" u="none" strike="noStrike" kern="1200" baseline="0">
                  <a:ln w="3175">
                    <a:noFill/>
                  </a:ln>
                  <a:solidFill>
                    <a:schemeClr val="bg1"/>
                  </a:solidFill>
                  <a:effectLst>
                    <a:outerShdw blurRad="50800" dist="38100" dir="5400000" algn="t" rotWithShape="0">
                      <a:prstClr val="black">
                        <a:alpha val="40000"/>
                      </a:prstClr>
                    </a:outerShdw>
                  </a:effectLst>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1"/>
        <c:spPr>
          <a:solidFill>
            <a:schemeClr val="accent2">
              <a:lumMod val="60000"/>
              <a:lumOff val="40000"/>
            </a:schemeClr>
          </a:solidFill>
          <a:ln w="19050">
            <a:noFill/>
          </a:ln>
          <a:effectLst/>
        </c:spPr>
        <c:dLbl>
          <c:idx val="0"/>
          <c:spPr>
            <a:noFill/>
            <a:ln>
              <a:noFill/>
            </a:ln>
            <a:effectLst/>
          </c:spPr>
          <c:txPr>
            <a:bodyPr rot="0" spcFirstLastPara="1" vertOverflow="overflow" horzOverflow="overflow" vert="horz" wrap="square" anchor="ctr" anchorCtr="1">
              <a:noAutofit/>
            </a:bodyPr>
            <a:lstStyle/>
            <a:p>
              <a:pPr>
                <a:defRPr sz="1200" b="1" i="0" u="none" strike="noStrike" kern="1200" baseline="0">
                  <a:ln w="3175">
                    <a:noFill/>
                  </a:ln>
                  <a:solidFill>
                    <a:schemeClr val="bg1"/>
                  </a:solidFill>
                  <a:effectLst>
                    <a:outerShdw blurRad="50800" dist="38100" dir="5400000" algn="t" rotWithShape="0">
                      <a:prstClr val="black">
                        <a:alpha val="40000"/>
                      </a:prstClr>
                    </a:outerShdw>
                  </a:effectLst>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15:layout>
                <c:manualLayout>
                  <c:w val="0.16264156110920916"/>
                  <c:h val="0.21312961707601119"/>
                </c:manualLayout>
              </c15:layout>
            </c:ext>
          </c:extLst>
        </c:dLbl>
      </c:pivotFmt>
      <c:pivotFmt>
        <c:idx val="12"/>
        <c:spPr>
          <a:solidFill>
            <a:schemeClr val="accent2">
              <a:lumMod val="75000"/>
            </a:schemeClr>
          </a:solidFill>
          <a:ln w="19050">
            <a:noFill/>
          </a:ln>
          <a:effectLst/>
        </c:spPr>
        <c:dLbl>
          <c:idx val="0"/>
          <c:spPr>
            <a:noFill/>
            <a:ln>
              <a:noFill/>
            </a:ln>
            <a:effectLst/>
          </c:spPr>
          <c:txPr>
            <a:bodyPr rot="0" spcFirstLastPara="1" vertOverflow="overflow" horzOverflow="overflow" vert="horz" wrap="square" anchor="ctr" anchorCtr="1">
              <a:noAutofit/>
            </a:bodyPr>
            <a:lstStyle/>
            <a:p>
              <a:pPr>
                <a:defRPr sz="1200" b="1" i="0" u="none" strike="noStrike" kern="1200" baseline="0">
                  <a:ln w="3175">
                    <a:noFill/>
                  </a:ln>
                  <a:solidFill>
                    <a:schemeClr val="bg1"/>
                  </a:solidFill>
                  <a:effectLst>
                    <a:outerShdw blurRad="50800" dist="38100" dir="5400000" algn="t" rotWithShape="0">
                      <a:prstClr val="black">
                        <a:alpha val="40000"/>
                      </a:prstClr>
                    </a:outerShdw>
                  </a:effectLst>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15:layout>
                <c:manualLayout>
                  <c:w val="0.17742531754527294"/>
                  <c:h val="0.24458424796967493"/>
                </c:manualLayout>
              </c15:layout>
            </c:ext>
          </c:extLst>
        </c:dLbl>
      </c:pivotFmt>
      <c:pivotFmt>
        <c:idx val="13"/>
        <c:spPr>
          <a:solidFill>
            <a:schemeClr val="accent2">
              <a:lumMod val="50000"/>
            </a:schemeClr>
          </a:solidFill>
          <a:ln w="19050">
            <a:noFill/>
          </a:ln>
          <a:effectLst/>
        </c:spPr>
        <c:dLbl>
          <c:idx val="0"/>
          <c:spPr>
            <a:noFill/>
            <a:ln>
              <a:noFill/>
            </a:ln>
            <a:effectLst/>
          </c:spPr>
          <c:txPr>
            <a:bodyPr rot="0" spcFirstLastPara="1" vertOverflow="overflow" horzOverflow="overflow" vert="horz" wrap="square" anchor="ctr" anchorCtr="1">
              <a:noAutofit/>
            </a:bodyPr>
            <a:lstStyle/>
            <a:p>
              <a:pPr>
                <a:defRPr sz="1200" b="1" i="0" u="none" strike="noStrike" kern="1200" baseline="0">
                  <a:ln w="3175">
                    <a:noFill/>
                  </a:ln>
                  <a:solidFill>
                    <a:schemeClr val="bg1"/>
                  </a:solidFill>
                  <a:effectLst>
                    <a:outerShdw blurRad="50800" dist="38100" dir="5400000" algn="t" rotWithShape="0">
                      <a:prstClr val="black">
                        <a:alpha val="40000"/>
                      </a:prstClr>
                    </a:outerShdw>
                  </a:effectLst>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15:layout>
                <c:manualLayout>
                  <c:w val="0.17629944083076568"/>
                  <c:h val="0.21312961707601119"/>
                </c:manualLayout>
              </c15:layout>
            </c:ext>
          </c:extLst>
        </c:dLbl>
      </c:pivotFmt>
      <c:pivotFmt>
        <c:idx val="14"/>
        <c:spPr>
          <a:solidFill>
            <a:schemeClr val="accent2">
              <a:lumMod val="40000"/>
              <a:lumOff val="60000"/>
            </a:schemeClr>
          </a:solidFill>
          <a:ln w="19050">
            <a:noFill/>
          </a:ln>
          <a:effectLst/>
        </c:spPr>
        <c:dLbl>
          <c:idx val="0"/>
          <c:spPr>
            <a:noFill/>
            <a:ln>
              <a:noFill/>
            </a:ln>
            <a:effectLst/>
          </c:spPr>
          <c:txPr>
            <a:bodyPr rot="0" spcFirstLastPara="1" vertOverflow="overflow" horzOverflow="overflow" vert="horz" wrap="square" anchor="ctr" anchorCtr="1">
              <a:noAutofit/>
            </a:bodyPr>
            <a:lstStyle/>
            <a:p>
              <a:pPr>
                <a:defRPr sz="1200" b="1" i="0" u="none" strike="noStrike" kern="1200" baseline="0">
                  <a:ln w="3175">
                    <a:noFill/>
                  </a:ln>
                  <a:solidFill>
                    <a:schemeClr val="bg1"/>
                  </a:solidFill>
                  <a:effectLst>
                    <a:outerShdw blurRad="50800" dist="38100" dir="5400000" algn="t" rotWithShape="0">
                      <a:prstClr val="black">
                        <a:alpha val="40000"/>
                      </a:prstClr>
                    </a:outerShdw>
                  </a:effectLst>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15:layout>
                <c:manualLayout>
                  <c:w val="0.1859794519792092"/>
                  <c:h val="0.21312994452964912"/>
                </c:manualLayout>
              </c15:layout>
            </c:ext>
          </c:extLst>
        </c:dLbl>
      </c:pivotFmt>
    </c:pivotFmts>
    <c:plotArea>
      <c:layout>
        <c:manualLayout>
          <c:layoutTarget val="inner"/>
          <c:xMode val="edge"/>
          <c:yMode val="edge"/>
          <c:x val="0.17223093351768215"/>
          <c:y val="6.5043194104048253E-3"/>
          <c:w val="0.52420470959338727"/>
          <c:h val="0.79609393196711342"/>
        </c:manualLayout>
      </c:layout>
      <c:pieChart>
        <c:varyColors val="1"/>
        <c:ser>
          <c:idx val="0"/>
          <c:order val="0"/>
          <c:tx>
            <c:strRef>
              <c:f>ANALYSIS!$M$19</c:f>
              <c:strCache>
                <c:ptCount val="1"/>
                <c:pt idx="0">
                  <c:v>Total</c:v>
                </c:pt>
              </c:strCache>
            </c:strRef>
          </c:tx>
          <c:dPt>
            <c:idx val="0"/>
            <c:bubble3D val="0"/>
            <c:spPr>
              <a:solidFill>
                <a:schemeClr val="accent2">
                  <a:lumMod val="60000"/>
                  <a:lumOff val="40000"/>
                </a:schemeClr>
              </a:solidFill>
              <a:ln w="19050">
                <a:noFill/>
              </a:ln>
              <a:effectLst/>
            </c:spPr>
            <c:extLst>
              <c:ext xmlns:c16="http://schemas.microsoft.com/office/drawing/2014/chart" uri="{C3380CC4-5D6E-409C-BE32-E72D297353CC}">
                <c16:uniqueId val="{00000001-88FA-46A8-93E4-BF4AF6D4CA56}"/>
              </c:ext>
            </c:extLst>
          </c:dPt>
          <c:dPt>
            <c:idx val="1"/>
            <c:bubble3D val="0"/>
            <c:spPr>
              <a:solidFill>
                <a:schemeClr val="accent2">
                  <a:lumMod val="75000"/>
                </a:schemeClr>
              </a:solidFill>
              <a:ln w="19050">
                <a:noFill/>
              </a:ln>
              <a:effectLst/>
            </c:spPr>
            <c:extLst>
              <c:ext xmlns:c16="http://schemas.microsoft.com/office/drawing/2014/chart" uri="{C3380CC4-5D6E-409C-BE32-E72D297353CC}">
                <c16:uniqueId val="{00000003-88FA-46A8-93E4-BF4AF6D4CA56}"/>
              </c:ext>
            </c:extLst>
          </c:dPt>
          <c:dPt>
            <c:idx val="2"/>
            <c:bubble3D val="0"/>
            <c:spPr>
              <a:solidFill>
                <a:schemeClr val="accent2">
                  <a:lumMod val="50000"/>
                </a:schemeClr>
              </a:solidFill>
              <a:ln w="19050">
                <a:noFill/>
              </a:ln>
              <a:effectLst/>
            </c:spPr>
            <c:extLst>
              <c:ext xmlns:c16="http://schemas.microsoft.com/office/drawing/2014/chart" uri="{C3380CC4-5D6E-409C-BE32-E72D297353CC}">
                <c16:uniqueId val="{00000005-88FA-46A8-93E4-BF4AF6D4CA56}"/>
              </c:ext>
            </c:extLst>
          </c:dPt>
          <c:dPt>
            <c:idx val="3"/>
            <c:bubble3D val="0"/>
            <c:spPr>
              <a:solidFill>
                <a:schemeClr val="accent2">
                  <a:lumMod val="40000"/>
                  <a:lumOff val="60000"/>
                </a:schemeClr>
              </a:solidFill>
              <a:ln w="19050">
                <a:noFill/>
              </a:ln>
              <a:effectLst/>
            </c:spPr>
            <c:extLst>
              <c:ext xmlns:c16="http://schemas.microsoft.com/office/drawing/2014/chart" uri="{C3380CC4-5D6E-409C-BE32-E72D297353CC}">
                <c16:uniqueId val="{00000007-88FA-46A8-93E4-BF4AF6D4CA56}"/>
              </c:ext>
            </c:extLst>
          </c:dPt>
          <c:dLbls>
            <c:dLbl>
              <c:idx val="0"/>
              <c:dLblPos val="inEnd"/>
              <c:showLegendKey val="0"/>
              <c:showVal val="0"/>
              <c:showCatName val="0"/>
              <c:showSerName val="0"/>
              <c:showPercent val="1"/>
              <c:showBubbleSize val="0"/>
              <c:extLst>
                <c:ext xmlns:c15="http://schemas.microsoft.com/office/drawing/2012/chart" uri="{CE6537A1-D6FC-4f65-9D91-7224C49458BB}">
                  <c15:layout>
                    <c:manualLayout>
                      <c:w val="0.16264156110920916"/>
                      <c:h val="0.21312961707601119"/>
                    </c:manualLayout>
                  </c15:layout>
                </c:ext>
                <c:ext xmlns:c16="http://schemas.microsoft.com/office/drawing/2014/chart" uri="{C3380CC4-5D6E-409C-BE32-E72D297353CC}">
                  <c16:uniqueId val="{00000001-88FA-46A8-93E4-BF4AF6D4CA56}"/>
                </c:ext>
              </c:extLst>
            </c:dLbl>
            <c:dLbl>
              <c:idx val="1"/>
              <c:dLblPos val="inEnd"/>
              <c:showLegendKey val="0"/>
              <c:showVal val="0"/>
              <c:showCatName val="0"/>
              <c:showSerName val="0"/>
              <c:showPercent val="1"/>
              <c:showBubbleSize val="0"/>
              <c:extLst>
                <c:ext xmlns:c15="http://schemas.microsoft.com/office/drawing/2012/chart" uri="{CE6537A1-D6FC-4f65-9D91-7224C49458BB}">
                  <c15:layout>
                    <c:manualLayout>
                      <c:w val="0.17742531754527294"/>
                      <c:h val="0.24458424796967493"/>
                    </c:manualLayout>
                  </c15:layout>
                </c:ext>
                <c:ext xmlns:c16="http://schemas.microsoft.com/office/drawing/2014/chart" uri="{C3380CC4-5D6E-409C-BE32-E72D297353CC}">
                  <c16:uniqueId val="{00000003-88FA-46A8-93E4-BF4AF6D4CA56}"/>
                </c:ext>
              </c:extLst>
            </c:dLbl>
            <c:dLbl>
              <c:idx val="2"/>
              <c:dLblPos val="inEnd"/>
              <c:showLegendKey val="0"/>
              <c:showVal val="0"/>
              <c:showCatName val="0"/>
              <c:showSerName val="0"/>
              <c:showPercent val="1"/>
              <c:showBubbleSize val="0"/>
              <c:extLst>
                <c:ext xmlns:c15="http://schemas.microsoft.com/office/drawing/2012/chart" uri="{CE6537A1-D6FC-4f65-9D91-7224C49458BB}">
                  <c15:layout>
                    <c:manualLayout>
                      <c:w val="0.17629944083076568"/>
                      <c:h val="0.21312961707601119"/>
                    </c:manualLayout>
                  </c15:layout>
                </c:ext>
                <c:ext xmlns:c16="http://schemas.microsoft.com/office/drawing/2014/chart" uri="{C3380CC4-5D6E-409C-BE32-E72D297353CC}">
                  <c16:uniqueId val="{00000005-88FA-46A8-93E4-BF4AF6D4CA56}"/>
                </c:ext>
              </c:extLst>
            </c:dLbl>
            <c:dLbl>
              <c:idx val="3"/>
              <c:dLblPos val="inEnd"/>
              <c:showLegendKey val="0"/>
              <c:showVal val="0"/>
              <c:showCatName val="0"/>
              <c:showSerName val="0"/>
              <c:showPercent val="1"/>
              <c:showBubbleSize val="0"/>
              <c:extLst>
                <c:ext xmlns:c15="http://schemas.microsoft.com/office/drawing/2012/chart" uri="{CE6537A1-D6FC-4f65-9D91-7224C49458BB}">
                  <c15:layout>
                    <c:manualLayout>
                      <c:w val="0.1859794519792092"/>
                      <c:h val="0.21312994452964912"/>
                    </c:manualLayout>
                  </c15:layout>
                </c:ext>
                <c:ext xmlns:c16="http://schemas.microsoft.com/office/drawing/2014/chart" uri="{C3380CC4-5D6E-409C-BE32-E72D297353CC}">
                  <c16:uniqueId val="{00000007-88FA-46A8-93E4-BF4AF6D4CA56}"/>
                </c:ext>
              </c:extLst>
            </c:dLbl>
            <c:spPr>
              <a:noFill/>
              <a:ln>
                <a:noFill/>
              </a:ln>
              <a:effectLst/>
            </c:spPr>
            <c:txPr>
              <a:bodyPr rot="0" spcFirstLastPara="1" vertOverflow="overflow" horzOverflow="overflow" vert="horz" wrap="square" anchor="ctr" anchorCtr="1">
                <a:noAutofit/>
              </a:bodyPr>
              <a:lstStyle/>
              <a:p>
                <a:pPr>
                  <a:defRPr sz="1200" b="1" i="0" u="none" strike="noStrike" kern="1200" baseline="0">
                    <a:ln w="3175">
                      <a:noFill/>
                    </a:ln>
                    <a:solidFill>
                      <a:schemeClr val="bg1"/>
                    </a:solidFill>
                    <a:effectLst>
                      <a:outerShdw blurRad="50800" dist="38100" dir="5400000" algn="t" rotWithShape="0">
                        <a:prstClr val="black">
                          <a:alpha val="40000"/>
                        </a:prstClr>
                      </a:outerShdw>
                    </a:effectLst>
                    <a:latin typeface="+mn-lt"/>
                    <a:ea typeface="+mn-ea"/>
                    <a:cs typeface="+mn-cs"/>
                  </a:defRPr>
                </a:pPr>
                <a:endParaRPr lang="en-US"/>
              </a:p>
            </c:txPr>
            <c:dLblPos val="inEnd"/>
            <c:showLegendKey val="0"/>
            <c:showVal val="0"/>
            <c:showCatName val="0"/>
            <c:showSerName val="0"/>
            <c:showPercent val="1"/>
            <c:showBubbleSize val="0"/>
            <c:showLeaderLines val="0"/>
            <c:extLst>
              <c:ext xmlns:c15="http://schemas.microsoft.com/office/drawing/2012/chart" uri="{CE6537A1-D6FC-4f65-9D91-7224C49458BB}"/>
            </c:extLst>
          </c:dLbls>
          <c:cat>
            <c:strRef>
              <c:f>ANALYSIS!$L$20:$L$24</c:f>
              <c:strCache>
                <c:ptCount val="4"/>
                <c:pt idx="0">
                  <c:v>Card</c:v>
                </c:pt>
                <c:pt idx="1">
                  <c:v>Cash on Delivery</c:v>
                </c:pt>
                <c:pt idx="2">
                  <c:v>UPI</c:v>
                </c:pt>
                <c:pt idx="3">
                  <c:v>Wallet</c:v>
                </c:pt>
              </c:strCache>
            </c:strRef>
          </c:cat>
          <c:val>
            <c:numRef>
              <c:f>ANALYSIS!$M$20:$M$24</c:f>
              <c:numCache>
                <c:formatCode>[&gt;=1000000]\$0.0,,"M";[&gt;=1000]\$0.0,"K";\$0</c:formatCode>
                <c:ptCount val="4"/>
                <c:pt idx="0">
                  <c:v>53820.119999999995</c:v>
                </c:pt>
                <c:pt idx="1">
                  <c:v>48431.609999999993</c:v>
                </c:pt>
                <c:pt idx="2">
                  <c:v>36311.19000000001</c:v>
                </c:pt>
                <c:pt idx="3">
                  <c:v>54540.15</c:v>
                </c:pt>
              </c:numCache>
            </c:numRef>
          </c:val>
          <c:extLst>
            <c:ext xmlns:c16="http://schemas.microsoft.com/office/drawing/2014/chart" uri="{C3380CC4-5D6E-409C-BE32-E72D297353CC}">
              <c16:uniqueId val="{00000008-88FA-46A8-93E4-BF4AF6D4CA56}"/>
            </c:ext>
          </c:extLst>
        </c:ser>
        <c:dLbls>
          <c:dLblPos val="bestFit"/>
          <c:showLegendKey val="0"/>
          <c:showVal val="1"/>
          <c:showCatName val="0"/>
          <c:showSerName val="0"/>
          <c:showPercent val="0"/>
          <c:showBubbleSize val="0"/>
          <c:showLeaderLines val="0"/>
        </c:dLbls>
        <c:firstSliceAng val="0"/>
      </c:pieChart>
      <c:spPr>
        <a:noFill/>
        <a:ln>
          <a:noFill/>
        </a:ln>
        <a:effectLst/>
      </c:spPr>
    </c:plotArea>
    <c:legend>
      <c:legendPos val="b"/>
      <c:layout>
        <c:manualLayout>
          <c:xMode val="edge"/>
          <c:yMode val="edge"/>
          <c:x val="1.3576214359651664E-2"/>
          <c:y val="0.83700265943578245"/>
          <c:w val="0.82568481113773806"/>
          <c:h val="0.12767725226399682"/>
        </c:manualLayout>
      </c:layout>
      <c:overlay val="0"/>
      <c:spPr>
        <a:noFill/>
        <a:ln>
          <a:noFill/>
        </a:ln>
        <a:effectLst/>
      </c:spPr>
      <c:txPr>
        <a:bodyPr rot="0" spcFirstLastPara="1" vertOverflow="ellipsis" vert="horz" wrap="square" anchor="b" anchorCtr="1"/>
        <a:lstStyle/>
        <a:p>
          <a:pPr>
            <a:defRPr sz="700" b="0" i="0" u="none" strike="noStrike" kern="1200" baseline="0">
              <a:solidFill>
                <a:schemeClr val="bg1">
                  <a:alpha val="5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sz="800">
          <a:solidFill>
            <a:schemeClr val="bg1">
              <a:alpha val="5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 Dashboard.xlsm]ANALYSIS!PivotTable11</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1792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alpha val="64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538955361068972"/>
          <c:y val="0.12076751081360533"/>
          <c:w val="0.793740888706292"/>
          <c:h val="0.53028348350556709"/>
        </c:manualLayout>
      </c:layout>
      <c:barChart>
        <c:barDir val="col"/>
        <c:grouping val="clustered"/>
        <c:varyColors val="0"/>
        <c:ser>
          <c:idx val="0"/>
          <c:order val="0"/>
          <c:tx>
            <c:strRef>
              <c:f>ANALYSIS!$J$20</c:f>
              <c:strCache>
                <c:ptCount val="1"/>
                <c:pt idx="0">
                  <c:v>Total</c:v>
                </c:pt>
              </c:strCache>
            </c:strRef>
          </c:tx>
          <c:spPr>
            <a:solidFill>
              <a:srgbClr val="F17925"/>
            </a:solidFill>
            <a:ln>
              <a:noFill/>
            </a:ln>
            <a:effectLst/>
          </c:spPr>
          <c:invertIfNegative val="0"/>
          <c:cat>
            <c:strRef>
              <c:f>ANALYSIS!$I$21:$I$26</c:f>
              <c:strCache>
                <c:ptCount val="5"/>
                <c:pt idx="0">
                  <c:v>Cap</c:v>
                </c:pt>
                <c:pt idx="1">
                  <c:v>Hoodie</c:v>
                </c:pt>
                <c:pt idx="2">
                  <c:v>Joggers</c:v>
                </c:pt>
                <c:pt idx="3">
                  <c:v>Sneakers</c:v>
                </c:pt>
                <c:pt idx="4">
                  <c:v>T-shirt</c:v>
                </c:pt>
              </c:strCache>
            </c:strRef>
          </c:cat>
          <c:val>
            <c:numRef>
              <c:f>ANALYSIS!$J$21:$J$26</c:f>
              <c:numCache>
                <c:formatCode>[&gt;=1000000]\$0.0,,"M";[&gt;=1000]\$0.0,"K";\$0</c:formatCode>
                <c:ptCount val="5"/>
                <c:pt idx="0">
                  <c:v>13915.460000000001</c:v>
                </c:pt>
                <c:pt idx="1">
                  <c:v>63109.450000000004</c:v>
                </c:pt>
                <c:pt idx="2">
                  <c:v>21342.019999999993</c:v>
                </c:pt>
                <c:pt idx="3">
                  <c:v>81586.890000000058</c:v>
                </c:pt>
                <c:pt idx="4">
                  <c:v>13149.249999999996</c:v>
                </c:pt>
              </c:numCache>
            </c:numRef>
          </c:val>
          <c:extLst>
            <c:ext xmlns:c16="http://schemas.microsoft.com/office/drawing/2014/chart" uri="{C3380CC4-5D6E-409C-BE32-E72D297353CC}">
              <c16:uniqueId val="{00000000-05E1-4BF8-B629-E29B77F2F3B4}"/>
            </c:ext>
          </c:extLst>
        </c:ser>
        <c:dLbls>
          <c:showLegendKey val="0"/>
          <c:showVal val="0"/>
          <c:showCatName val="0"/>
          <c:showSerName val="0"/>
          <c:showPercent val="0"/>
          <c:showBubbleSize val="0"/>
        </c:dLbls>
        <c:gapWidth val="219"/>
        <c:overlap val="-27"/>
        <c:axId val="253963807"/>
        <c:axId val="253953727"/>
      </c:barChart>
      <c:catAx>
        <c:axId val="253963807"/>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bg1">
                    <a:alpha val="64000"/>
                  </a:schemeClr>
                </a:solidFill>
                <a:latin typeface="+mn-lt"/>
                <a:ea typeface="+mn-ea"/>
                <a:cs typeface="+mn-cs"/>
              </a:defRPr>
            </a:pPr>
            <a:endParaRPr lang="en-US"/>
          </a:p>
        </c:txPr>
        <c:crossAx val="253953727"/>
        <c:crosses val="autoZero"/>
        <c:auto val="1"/>
        <c:lblAlgn val="ctr"/>
        <c:lblOffset val="100"/>
        <c:noMultiLvlLbl val="0"/>
      </c:catAx>
      <c:valAx>
        <c:axId val="253953727"/>
        <c:scaling>
          <c:orientation val="minMax"/>
        </c:scaling>
        <c:delete val="1"/>
        <c:axPos val="l"/>
        <c:numFmt formatCode="[&gt;=1000000]\$0.0,,&quot;M&quot;;[&gt;=1000]\$0.0,&quot;K&quot;;\$0" sourceLinked="1"/>
        <c:majorTickMark val="none"/>
        <c:minorTickMark val="none"/>
        <c:tickLblPos val="nextTo"/>
        <c:crossAx val="25396380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solidFill>
            <a:schemeClr val="bg1">
              <a:alpha val="64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4.svg"/><Relationship Id="rId13" Type="http://schemas.openxmlformats.org/officeDocument/2006/relationships/image" Target="../media/image9.png"/><Relationship Id="rId18" Type="http://schemas.openxmlformats.org/officeDocument/2006/relationships/hyperlink" Target="#DASHBOARD!A1"/><Relationship Id="rId26" Type="http://schemas.openxmlformats.org/officeDocument/2006/relationships/image" Target="../media/image19.png"/><Relationship Id="rId3" Type="http://schemas.openxmlformats.org/officeDocument/2006/relationships/chart" Target="../charts/chart3.xml"/><Relationship Id="rId21" Type="http://schemas.openxmlformats.org/officeDocument/2006/relationships/hyperlink" Target="#DATA!A1"/><Relationship Id="rId7" Type="http://schemas.openxmlformats.org/officeDocument/2006/relationships/image" Target="../media/image3.png"/><Relationship Id="rId12" Type="http://schemas.openxmlformats.org/officeDocument/2006/relationships/image" Target="../media/image8.svg"/><Relationship Id="rId17" Type="http://schemas.openxmlformats.org/officeDocument/2006/relationships/image" Target="../media/image12.svg"/><Relationship Id="rId25" Type="http://schemas.openxmlformats.org/officeDocument/2006/relationships/image" Target="../media/image18.svg"/><Relationship Id="rId2" Type="http://schemas.openxmlformats.org/officeDocument/2006/relationships/chart" Target="../charts/chart2.xml"/><Relationship Id="rId16" Type="http://schemas.openxmlformats.org/officeDocument/2006/relationships/image" Target="../media/image11.png"/><Relationship Id="rId20" Type="http://schemas.openxmlformats.org/officeDocument/2006/relationships/image" Target="../media/image14.svg"/><Relationship Id="rId1" Type="http://schemas.openxmlformats.org/officeDocument/2006/relationships/chart" Target="../charts/chart1.xml"/><Relationship Id="rId6" Type="http://schemas.openxmlformats.org/officeDocument/2006/relationships/image" Target="../media/image2.svg"/><Relationship Id="rId11" Type="http://schemas.openxmlformats.org/officeDocument/2006/relationships/image" Target="../media/image7.png"/><Relationship Id="rId24" Type="http://schemas.openxmlformats.org/officeDocument/2006/relationships/image" Target="../media/image17.png"/><Relationship Id="rId5" Type="http://schemas.openxmlformats.org/officeDocument/2006/relationships/image" Target="../media/image1.png"/><Relationship Id="rId15" Type="http://schemas.openxmlformats.org/officeDocument/2006/relationships/hyperlink" Target="#ANALYSIS!A1"/><Relationship Id="rId23" Type="http://schemas.openxmlformats.org/officeDocument/2006/relationships/image" Target="../media/image16.svg"/><Relationship Id="rId28" Type="http://schemas.openxmlformats.org/officeDocument/2006/relationships/image" Target="../media/image21.svg"/><Relationship Id="rId10" Type="http://schemas.openxmlformats.org/officeDocument/2006/relationships/image" Target="../media/image6.svg"/><Relationship Id="rId19" Type="http://schemas.openxmlformats.org/officeDocument/2006/relationships/image" Target="../media/image13.png"/><Relationship Id="rId4" Type="http://schemas.openxmlformats.org/officeDocument/2006/relationships/chart" Target="../charts/chart4.xml"/><Relationship Id="rId9" Type="http://schemas.openxmlformats.org/officeDocument/2006/relationships/image" Target="../media/image5.png"/><Relationship Id="rId14" Type="http://schemas.openxmlformats.org/officeDocument/2006/relationships/image" Target="../media/image10.svg"/><Relationship Id="rId22" Type="http://schemas.openxmlformats.org/officeDocument/2006/relationships/image" Target="../media/image15.png"/><Relationship Id="rId27" Type="http://schemas.openxmlformats.org/officeDocument/2006/relationships/image" Target="../media/image20.png"/></Relationships>
</file>

<file path=xl/drawings/_rels/drawing2.xml.rels><?xml version="1.0" encoding="UTF-8" standalone="yes"?>
<Relationships xmlns="http://schemas.openxmlformats.org/package/2006/relationships"><Relationship Id="rId8" Type="http://schemas.openxmlformats.org/officeDocument/2006/relationships/image" Target="../media/image15.png"/><Relationship Id="rId3" Type="http://schemas.openxmlformats.org/officeDocument/2006/relationships/image" Target="../media/image12.svg"/><Relationship Id="rId7" Type="http://schemas.openxmlformats.org/officeDocument/2006/relationships/hyperlink" Target="#DATA!A1"/><Relationship Id="rId12" Type="http://schemas.openxmlformats.org/officeDocument/2006/relationships/image" Target="../media/image22.png"/><Relationship Id="rId2" Type="http://schemas.openxmlformats.org/officeDocument/2006/relationships/image" Target="../media/image11.png"/><Relationship Id="rId1" Type="http://schemas.openxmlformats.org/officeDocument/2006/relationships/hyperlink" Target="#ANALYSIS!A1"/><Relationship Id="rId6" Type="http://schemas.openxmlformats.org/officeDocument/2006/relationships/image" Target="../media/image14.svg"/><Relationship Id="rId11" Type="http://schemas.openxmlformats.org/officeDocument/2006/relationships/image" Target="../media/image18.svg"/><Relationship Id="rId5" Type="http://schemas.openxmlformats.org/officeDocument/2006/relationships/image" Target="../media/image13.png"/><Relationship Id="rId10" Type="http://schemas.openxmlformats.org/officeDocument/2006/relationships/image" Target="../media/image17.png"/><Relationship Id="rId4" Type="http://schemas.openxmlformats.org/officeDocument/2006/relationships/hyperlink" Target="#DASHBOARD!A1"/><Relationship Id="rId9" Type="http://schemas.openxmlformats.org/officeDocument/2006/relationships/image" Target="../media/image16.svg"/></Relationships>
</file>

<file path=xl/drawings/_rels/drawing3.xml.rels><?xml version="1.0" encoding="UTF-8" standalone="yes"?>
<Relationships xmlns="http://schemas.openxmlformats.org/package/2006/relationships"><Relationship Id="rId8" Type="http://schemas.openxmlformats.org/officeDocument/2006/relationships/image" Target="../media/image15.png"/><Relationship Id="rId3" Type="http://schemas.openxmlformats.org/officeDocument/2006/relationships/image" Target="../media/image12.svg"/><Relationship Id="rId7" Type="http://schemas.openxmlformats.org/officeDocument/2006/relationships/hyperlink" Target="#DATA!A1"/><Relationship Id="rId12" Type="http://schemas.openxmlformats.org/officeDocument/2006/relationships/image" Target="../media/image22.png"/><Relationship Id="rId2" Type="http://schemas.openxmlformats.org/officeDocument/2006/relationships/image" Target="../media/image11.png"/><Relationship Id="rId1" Type="http://schemas.openxmlformats.org/officeDocument/2006/relationships/hyperlink" Target="#ANALYSIS!A1"/><Relationship Id="rId6" Type="http://schemas.openxmlformats.org/officeDocument/2006/relationships/image" Target="../media/image14.svg"/><Relationship Id="rId11" Type="http://schemas.openxmlformats.org/officeDocument/2006/relationships/image" Target="../media/image18.svg"/><Relationship Id="rId5" Type="http://schemas.openxmlformats.org/officeDocument/2006/relationships/image" Target="../media/image13.png"/><Relationship Id="rId10" Type="http://schemas.openxmlformats.org/officeDocument/2006/relationships/image" Target="../media/image17.png"/><Relationship Id="rId4" Type="http://schemas.openxmlformats.org/officeDocument/2006/relationships/hyperlink" Target="#DASHBOARD!A1"/><Relationship Id="rId9" Type="http://schemas.openxmlformats.org/officeDocument/2006/relationships/image" Target="../media/image16.svg"/></Relationships>
</file>

<file path=xl/drawings/drawing1.xml><?xml version="1.0" encoding="utf-8"?>
<xdr:wsDr xmlns:xdr="http://schemas.openxmlformats.org/drawingml/2006/spreadsheetDrawing" xmlns:a="http://schemas.openxmlformats.org/drawingml/2006/main">
  <xdr:twoCellAnchor>
    <xdr:from>
      <xdr:col>3</xdr:col>
      <xdr:colOff>209550</xdr:colOff>
      <xdr:row>2</xdr:row>
      <xdr:rowOff>73270</xdr:rowOff>
    </xdr:from>
    <xdr:to>
      <xdr:col>4</xdr:col>
      <xdr:colOff>523875</xdr:colOff>
      <xdr:row>36</xdr:row>
      <xdr:rowOff>137747</xdr:rowOff>
    </xdr:to>
    <xdr:sp macro="" textlink="">
      <xdr:nvSpPr>
        <xdr:cNvPr id="3" name="Rectangle: Rounded Corners 2">
          <a:extLst>
            <a:ext uri="{FF2B5EF4-FFF2-40B4-BE49-F238E27FC236}">
              <a16:creationId xmlns:a16="http://schemas.microsoft.com/office/drawing/2014/main" id="{2FD8B728-C718-4774-A335-241B6A6082EB}"/>
            </a:ext>
          </a:extLst>
        </xdr:cNvPr>
        <xdr:cNvSpPr/>
      </xdr:nvSpPr>
      <xdr:spPr>
        <a:xfrm>
          <a:off x="2038350" y="454270"/>
          <a:ext cx="923925" cy="6541477"/>
        </a:xfrm>
        <a:prstGeom prst="roundRect">
          <a:avLst>
            <a:gd name="adj" fmla="val 7747"/>
          </a:avLst>
        </a:prstGeom>
        <a:solidFill>
          <a:srgbClr val="212528"/>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2198</xdr:colOff>
      <xdr:row>2</xdr:row>
      <xdr:rowOff>73270</xdr:rowOff>
    </xdr:from>
    <xdr:to>
      <xdr:col>23</xdr:col>
      <xdr:colOff>293077</xdr:colOff>
      <xdr:row>36</xdr:row>
      <xdr:rowOff>142876</xdr:rowOff>
    </xdr:to>
    <xdr:sp macro="" textlink="">
      <xdr:nvSpPr>
        <xdr:cNvPr id="4" name="Rectangle: Rounded Corners 3">
          <a:extLst>
            <a:ext uri="{FF2B5EF4-FFF2-40B4-BE49-F238E27FC236}">
              <a16:creationId xmlns:a16="http://schemas.microsoft.com/office/drawing/2014/main" id="{DEB10954-6CBD-4B37-BBDD-66580BCB8B71}"/>
            </a:ext>
          </a:extLst>
        </xdr:cNvPr>
        <xdr:cNvSpPr/>
      </xdr:nvSpPr>
      <xdr:spPr>
        <a:xfrm>
          <a:off x="3050198" y="454270"/>
          <a:ext cx="11263679" cy="6546606"/>
        </a:xfrm>
        <a:prstGeom prst="roundRect">
          <a:avLst>
            <a:gd name="adj" fmla="val 1386"/>
          </a:avLst>
        </a:prstGeom>
        <a:solidFill>
          <a:srgbClr val="212528"/>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417906</xdr:colOff>
      <xdr:row>8</xdr:row>
      <xdr:rowOff>123266</xdr:rowOff>
    </xdr:from>
    <xdr:to>
      <xdr:col>10</xdr:col>
      <xdr:colOff>381000</xdr:colOff>
      <xdr:row>16</xdr:row>
      <xdr:rowOff>131886</xdr:rowOff>
    </xdr:to>
    <xdr:sp macro="" textlink="">
      <xdr:nvSpPr>
        <xdr:cNvPr id="6" name="Rectangle: Rounded Corners 5">
          <a:extLst>
            <a:ext uri="{FF2B5EF4-FFF2-40B4-BE49-F238E27FC236}">
              <a16:creationId xmlns:a16="http://schemas.microsoft.com/office/drawing/2014/main" id="{A2396F63-FFA0-4104-B674-5E8BF567AABC}"/>
            </a:ext>
          </a:extLst>
        </xdr:cNvPr>
        <xdr:cNvSpPr/>
      </xdr:nvSpPr>
      <xdr:spPr>
        <a:xfrm>
          <a:off x="3482471" y="1647266"/>
          <a:ext cx="3027659" cy="1532620"/>
        </a:xfrm>
        <a:prstGeom prst="roundRect">
          <a:avLst>
            <a:gd name="adj" fmla="val 2270"/>
          </a:avLst>
        </a:prstGeom>
        <a:solidFill>
          <a:srgbClr val="272B2F"/>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442754</xdr:colOff>
      <xdr:row>17</xdr:row>
      <xdr:rowOff>58271</xdr:rowOff>
    </xdr:from>
    <xdr:to>
      <xdr:col>17</xdr:col>
      <xdr:colOff>273375</xdr:colOff>
      <xdr:row>36</xdr:row>
      <xdr:rowOff>0</xdr:rowOff>
    </xdr:to>
    <xdr:sp macro="" textlink="">
      <xdr:nvSpPr>
        <xdr:cNvPr id="7" name="Rectangle: Rounded Corners 6">
          <a:extLst>
            <a:ext uri="{FF2B5EF4-FFF2-40B4-BE49-F238E27FC236}">
              <a16:creationId xmlns:a16="http://schemas.microsoft.com/office/drawing/2014/main" id="{A4EFA2D5-32E7-48CE-B19E-8BF3E9D8C53B}"/>
            </a:ext>
          </a:extLst>
        </xdr:cNvPr>
        <xdr:cNvSpPr/>
      </xdr:nvSpPr>
      <xdr:spPr>
        <a:xfrm>
          <a:off x="3490754" y="3296771"/>
          <a:ext cx="7145821" cy="3561229"/>
        </a:xfrm>
        <a:prstGeom prst="roundRect">
          <a:avLst>
            <a:gd name="adj" fmla="val 2270"/>
          </a:avLst>
        </a:prstGeom>
        <a:solidFill>
          <a:srgbClr val="272B2F"/>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rgbClr val="272B2F"/>
            </a:solidFill>
          </a:endParaRPr>
        </a:p>
      </xdr:txBody>
    </xdr:sp>
    <xdr:clientData/>
  </xdr:twoCellAnchor>
  <xdr:twoCellAnchor>
    <xdr:from>
      <xdr:col>6</xdr:col>
      <xdr:colOff>14480</xdr:colOff>
      <xdr:row>21</xdr:row>
      <xdr:rowOff>72708</xdr:rowOff>
    </xdr:from>
    <xdr:to>
      <xdr:col>17</xdr:col>
      <xdr:colOff>117662</xdr:colOff>
      <xdr:row>35</xdr:row>
      <xdr:rowOff>148908</xdr:rowOff>
    </xdr:to>
    <xdr:graphicFrame macro="">
      <xdr:nvGraphicFramePr>
        <xdr:cNvPr id="9" name="Chart 8">
          <a:extLst>
            <a:ext uri="{FF2B5EF4-FFF2-40B4-BE49-F238E27FC236}">
              <a16:creationId xmlns:a16="http://schemas.microsoft.com/office/drawing/2014/main" id="{E9A79F9F-5E9B-47BA-B97E-FD2B747CE5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57740</xdr:colOff>
      <xdr:row>17</xdr:row>
      <xdr:rowOff>182377</xdr:rowOff>
    </xdr:from>
    <xdr:to>
      <xdr:col>11</xdr:col>
      <xdr:colOff>537304</xdr:colOff>
      <xdr:row>19</xdr:row>
      <xdr:rowOff>160396</xdr:rowOff>
    </xdr:to>
    <xdr:sp macro="" textlink="">
      <xdr:nvSpPr>
        <xdr:cNvPr id="10" name="TextBox 9">
          <a:extLst>
            <a:ext uri="{FF2B5EF4-FFF2-40B4-BE49-F238E27FC236}">
              <a16:creationId xmlns:a16="http://schemas.microsoft.com/office/drawing/2014/main" id="{87721F62-0BB5-6D8A-A72F-8A2A9476251D}"/>
            </a:ext>
          </a:extLst>
        </xdr:cNvPr>
        <xdr:cNvSpPr txBox="1"/>
      </xdr:nvSpPr>
      <xdr:spPr>
        <a:xfrm>
          <a:off x="3735218" y="3420877"/>
          <a:ext cx="3544129" cy="3590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a:solidFill>
                <a:schemeClr val="bg1"/>
              </a:solidFill>
              <a:latin typeface="Bahnschrift SemiBold" panose="020B0502040204020203" pitchFamily="34" charset="0"/>
            </a:rPr>
            <a:t>Sales Trend Over Time</a:t>
          </a:r>
        </a:p>
      </xdr:txBody>
    </xdr:sp>
    <xdr:clientData/>
  </xdr:twoCellAnchor>
  <xdr:twoCellAnchor>
    <xdr:from>
      <xdr:col>17</xdr:col>
      <xdr:colOff>375558</xdr:colOff>
      <xdr:row>17</xdr:row>
      <xdr:rowOff>72140</xdr:rowOff>
    </xdr:from>
    <xdr:to>
      <xdr:col>23</xdr:col>
      <xdr:colOff>190500</xdr:colOff>
      <xdr:row>26</xdr:row>
      <xdr:rowOff>36635</xdr:rowOff>
    </xdr:to>
    <xdr:sp macro="" textlink="">
      <xdr:nvSpPr>
        <xdr:cNvPr id="13" name="Rectangle: Rounded Corners 12">
          <a:extLst>
            <a:ext uri="{FF2B5EF4-FFF2-40B4-BE49-F238E27FC236}">
              <a16:creationId xmlns:a16="http://schemas.microsoft.com/office/drawing/2014/main" id="{596D9E0A-C29A-4273-A1B9-09B5E6FF0C2C}"/>
            </a:ext>
          </a:extLst>
        </xdr:cNvPr>
        <xdr:cNvSpPr/>
      </xdr:nvSpPr>
      <xdr:spPr>
        <a:xfrm>
          <a:off x="10738758" y="3310640"/>
          <a:ext cx="3472542" cy="1678995"/>
        </a:xfrm>
        <a:prstGeom prst="roundRect">
          <a:avLst>
            <a:gd name="adj" fmla="val 2270"/>
          </a:avLst>
        </a:prstGeom>
        <a:solidFill>
          <a:srgbClr val="272B2F"/>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125949</xdr:colOff>
      <xdr:row>17</xdr:row>
      <xdr:rowOff>86320</xdr:rowOff>
    </xdr:from>
    <xdr:to>
      <xdr:col>21</xdr:col>
      <xdr:colOff>563416</xdr:colOff>
      <xdr:row>19</xdr:row>
      <xdr:rowOff>64339</xdr:rowOff>
    </xdr:to>
    <xdr:sp macro="" textlink="">
      <xdr:nvSpPr>
        <xdr:cNvPr id="12" name="TextBox 11">
          <a:extLst>
            <a:ext uri="{FF2B5EF4-FFF2-40B4-BE49-F238E27FC236}">
              <a16:creationId xmlns:a16="http://schemas.microsoft.com/office/drawing/2014/main" id="{FA6C47BA-F1B1-4FA1-832C-44103EF291F0}"/>
            </a:ext>
          </a:extLst>
        </xdr:cNvPr>
        <xdr:cNvSpPr txBox="1"/>
      </xdr:nvSpPr>
      <xdr:spPr>
        <a:xfrm>
          <a:off x="11680507" y="3324820"/>
          <a:ext cx="1653736" cy="3590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bg1"/>
              </a:solidFill>
              <a:latin typeface="Bahnschrift SemiBold" panose="020B0502040204020203" pitchFamily="34" charset="0"/>
            </a:rPr>
            <a:t>Sales by Country</a:t>
          </a:r>
        </a:p>
      </xdr:txBody>
    </xdr:sp>
    <xdr:clientData/>
  </xdr:twoCellAnchor>
  <xdr:twoCellAnchor>
    <xdr:from>
      <xdr:col>17</xdr:col>
      <xdr:colOff>453139</xdr:colOff>
      <xdr:row>18</xdr:row>
      <xdr:rowOff>52422</xdr:rowOff>
    </xdr:from>
    <xdr:to>
      <xdr:col>23</xdr:col>
      <xdr:colOff>169024</xdr:colOff>
      <xdr:row>26</xdr:row>
      <xdr:rowOff>62326</xdr:rowOff>
    </xdr:to>
    <xdr:graphicFrame macro="">
      <xdr:nvGraphicFramePr>
        <xdr:cNvPr id="11" name="Chart 10">
          <a:extLst>
            <a:ext uri="{FF2B5EF4-FFF2-40B4-BE49-F238E27FC236}">
              <a16:creationId xmlns:a16="http://schemas.microsoft.com/office/drawing/2014/main" id="{B657BAE8-E8C1-4582-8186-0F34CA745E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375557</xdr:colOff>
      <xdr:row>27</xdr:row>
      <xdr:rowOff>347</xdr:rowOff>
    </xdr:from>
    <xdr:to>
      <xdr:col>20</xdr:col>
      <xdr:colOff>410308</xdr:colOff>
      <xdr:row>35</xdr:row>
      <xdr:rowOff>172314</xdr:rowOff>
    </xdr:to>
    <xdr:sp macro="" textlink="">
      <xdr:nvSpPr>
        <xdr:cNvPr id="17" name="Rectangle: Rounded Corners 16">
          <a:extLst>
            <a:ext uri="{FF2B5EF4-FFF2-40B4-BE49-F238E27FC236}">
              <a16:creationId xmlns:a16="http://schemas.microsoft.com/office/drawing/2014/main" id="{053F6892-8773-4758-B4EA-4517076DF4F8}"/>
            </a:ext>
          </a:extLst>
        </xdr:cNvPr>
        <xdr:cNvSpPr/>
      </xdr:nvSpPr>
      <xdr:spPr>
        <a:xfrm>
          <a:off x="10711195" y="5143847"/>
          <a:ext cx="1858687" cy="1695967"/>
        </a:xfrm>
        <a:prstGeom prst="roundRect">
          <a:avLst>
            <a:gd name="adj" fmla="val 2270"/>
          </a:avLst>
        </a:prstGeom>
        <a:solidFill>
          <a:srgbClr val="272B2F"/>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360949</xdr:colOff>
      <xdr:row>28</xdr:row>
      <xdr:rowOff>132848</xdr:rowOff>
    </xdr:from>
    <xdr:to>
      <xdr:col>21</xdr:col>
      <xdr:colOff>113299</xdr:colOff>
      <xdr:row>36</xdr:row>
      <xdr:rowOff>47123</xdr:rowOff>
    </xdr:to>
    <xdr:graphicFrame macro="">
      <xdr:nvGraphicFramePr>
        <xdr:cNvPr id="18" name="Chart 17">
          <a:extLst>
            <a:ext uri="{FF2B5EF4-FFF2-40B4-BE49-F238E27FC236}">
              <a16:creationId xmlns:a16="http://schemas.microsoft.com/office/drawing/2014/main" id="{C5C79BE0-CC25-4A0D-AC36-27B9556417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483749</xdr:colOff>
      <xdr:row>27</xdr:row>
      <xdr:rowOff>53271</xdr:rowOff>
    </xdr:from>
    <xdr:to>
      <xdr:col>21</xdr:col>
      <xdr:colOff>150570</xdr:colOff>
      <xdr:row>29</xdr:row>
      <xdr:rowOff>31290</xdr:rowOff>
    </xdr:to>
    <xdr:sp macro="" textlink="">
      <xdr:nvSpPr>
        <xdr:cNvPr id="19" name="TextBox 18">
          <a:extLst>
            <a:ext uri="{FF2B5EF4-FFF2-40B4-BE49-F238E27FC236}">
              <a16:creationId xmlns:a16="http://schemas.microsoft.com/office/drawing/2014/main" id="{73FA10FE-6E87-4EA2-BE91-8B87931F5AF1}"/>
            </a:ext>
          </a:extLst>
        </xdr:cNvPr>
        <xdr:cNvSpPr txBox="1"/>
      </xdr:nvSpPr>
      <xdr:spPr>
        <a:xfrm>
          <a:off x="10881038" y="4625271"/>
          <a:ext cx="2113243" cy="3590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solidFill>
              <a:latin typeface="Bahnschrift SemiBold" panose="020B0502040204020203" pitchFamily="34" charset="0"/>
            </a:rPr>
            <a:t>Sales by Payment Mode</a:t>
          </a:r>
        </a:p>
      </xdr:txBody>
    </xdr:sp>
    <xdr:clientData/>
  </xdr:twoCellAnchor>
  <xdr:twoCellAnchor>
    <xdr:from>
      <xdr:col>20</xdr:col>
      <xdr:colOff>482809</xdr:colOff>
      <xdr:row>27</xdr:row>
      <xdr:rowOff>347</xdr:rowOff>
    </xdr:from>
    <xdr:to>
      <xdr:col>23</xdr:col>
      <xdr:colOff>183173</xdr:colOff>
      <xdr:row>35</xdr:row>
      <xdr:rowOff>172314</xdr:rowOff>
    </xdr:to>
    <xdr:sp macro="" textlink="">
      <xdr:nvSpPr>
        <xdr:cNvPr id="20" name="Rectangle: Rounded Corners 19">
          <a:extLst>
            <a:ext uri="{FF2B5EF4-FFF2-40B4-BE49-F238E27FC236}">
              <a16:creationId xmlns:a16="http://schemas.microsoft.com/office/drawing/2014/main" id="{055C23D4-4116-47B7-A5C3-2B7200B1F693}"/>
            </a:ext>
          </a:extLst>
        </xdr:cNvPr>
        <xdr:cNvSpPr/>
      </xdr:nvSpPr>
      <xdr:spPr>
        <a:xfrm>
          <a:off x="12674809" y="5143847"/>
          <a:ext cx="1529164" cy="1695967"/>
        </a:xfrm>
        <a:prstGeom prst="roundRect">
          <a:avLst>
            <a:gd name="adj" fmla="val 2270"/>
          </a:avLst>
        </a:prstGeom>
        <a:solidFill>
          <a:srgbClr val="272B2F"/>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508786</xdr:colOff>
      <xdr:row>28</xdr:row>
      <xdr:rowOff>10026</xdr:rowOff>
    </xdr:from>
    <xdr:to>
      <xdr:col>23</xdr:col>
      <xdr:colOff>234461</xdr:colOff>
      <xdr:row>36</xdr:row>
      <xdr:rowOff>24848</xdr:rowOff>
    </xdr:to>
    <xdr:graphicFrame macro="">
      <xdr:nvGraphicFramePr>
        <xdr:cNvPr id="21" name="Chart 20">
          <a:extLst>
            <a:ext uri="{FF2B5EF4-FFF2-40B4-BE49-F238E27FC236}">
              <a16:creationId xmlns:a16="http://schemas.microsoft.com/office/drawing/2014/main" id="{583AA437-6E21-4869-B53E-1337C84EC0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252915</xdr:colOff>
      <xdr:row>26</xdr:row>
      <xdr:rowOff>134564</xdr:rowOff>
    </xdr:from>
    <xdr:to>
      <xdr:col>24</xdr:col>
      <xdr:colOff>373673</xdr:colOff>
      <xdr:row>29</xdr:row>
      <xdr:rowOff>132690</xdr:rowOff>
    </xdr:to>
    <xdr:sp macro="" textlink="">
      <xdr:nvSpPr>
        <xdr:cNvPr id="22" name="TextBox 21">
          <a:extLst>
            <a:ext uri="{FF2B5EF4-FFF2-40B4-BE49-F238E27FC236}">
              <a16:creationId xmlns:a16="http://schemas.microsoft.com/office/drawing/2014/main" id="{BA12AF4F-87BE-436C-9969-716BC7DB4129}"/>
            </a:ext>
          </a:extLst>
        </xdr:cNvPr>
        <xdr:cNvSpPr txBox="1"/>
      </xdr:nvSpPr>
      <xdr:spPr>
        <a:xfrm>
          <a:off x="11807473" y="5087564"/>
          <a:ext cx="3161431" cy="5696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bg1"/>
              </a:solidFill>
              <a:latin typeface="Bahnschrift SemiBold" panose="020B0502040204020203" pitchFamily="34" charset="0"/>
            </a:rPr>
            <a:t>Sales by </a:t>
          </a:r>
        </a:p>
        <a:p>
          <a:pPr algn="ctr"/>
          <a:r>
            <a:rPr lang="en-US" sz="1200">
              <a:solidFill>
                <a:schemeClr val="bg1"/>
              </a:solidFill>
              <a:latin typeface="Bahnschrift SemiBold" panose="020B0502040204020203" pitchFamily="34" charset="0"/>
            </a:rPr>
            <a:t>Product Category</a:t>
          </a:r>
        </a:p>
      </xdr:txBody>
    </xdr:sp>
    <xdr:clientData/>
  </xdr:twoCellAnchor>
  <xdr:twoCellAnchor>
    <xdr:from>
      <xdr:col>5</xdr:col>
      <xdr:colOff>449162</xdr:colOff>
      <xdr:row>3</xdr:row>
      <xdr:rowOff>144165</xdr:rowOff>
    </xdr:from>
    <xdr:to>
      <xdr:col>11</xdr:col>
      <xdr:colOff>405033</xdr:colOff>
      <xdr:row>8</xdr:row>
      <xdr:rowOff>34894</xdr:rowOff>
    </xdr:to>
    <xdr:sp macro="" textlink="">
      <xdr:nvSpPr>
        <xdr:cNvPr id="23" name="Rectangle: Rounded Corners 22">
          <a:extLst>
            <a:ext uri="{FF2B5EF4-FFF2-40B4-BE49-F238E27FC236}">
              <a16:creationId xmlns:a16="http://schemas.microsoft.com/office/drawing/2014/main" id="{8CE198E3-48C1-492F-95BB-6F751D3E42EB}"/>
            </a:ext>
          </a:extLst>
        </xdr:cNvPr>
        <xdr:cNvSpPr/>
      </xdr:nvSpPr>
      <xdr:spPr>
        <a:xfrm>
          <a:off x="3485256" y="525165"/>
          <a:ext cx="3599183" cy="843229"/>
        </a:xfrm>
        <a:prstGeom prst="roundRect">
          <a:avLst>
            <a:gd name="adj" fmla="val 10628"/>
          </a:avLst>
        </a:prstGeom>
        <a:solidFill>
          <a:srgbClr val="272B2F"/>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490946</xdr:colOff>
      <xdr:row>4</xdr:row>
      <xdr:rowOff>14500</xdr:rowOff>
    </xdr:from>
    <xdr:to>
      <xdr:col>11</xdr:col>
      <xdr:colOff>368856</xdr:colOff>
      <xdr:row>8</xdr:row>
      <xdr:rowOff>6332</xdr:rowOff>
    </xdr:to>
    <mc:AlternateContent xmlns:mc="http://schemas.openxmlformats.org/markup-compatibility/2006" xmlns:tsle="http://schemas.microsoft.com/office/drawing/2012/timeslicer">
      <mc:Choice Requires="tsle">
        <xdr:graphicFrame macro="">
          <xdr:nvGraphicFramePr>
            <xdr:cNvPr id="5" name="Date 1">
              <a:extLst>
                <a:ext uri="{FF2B5EF4-FFF2-40B4-BE49-F238E27FC236}">
                  <a16:creationId xmlns:a16="http://schemas.microsoft.com/office/drawing/2014/main" id="{86E289B2-5D0B-4DC8-8F7D-4309593E1EE0}"/>
                </a:ext>
              </a:extLst>
            </xdr:cNvPr>
            <xdr:cNvGraphicFramePr/>
          </xdr:nvGraphicFramePr>
          <xdr:xfrm>
            <a:off x="0" y="0"/>
            <a:ext cx="0" cy="0"/>
          </xdr:xfrm>
          <a:graphic>
            <a:graphicData uri="http://schemas.microsoft.com/office/drawing/2012/timeslicer">
              <tsle:timeslicer name="Date 1"/>
            </a:graphicData>
          </a:graphic>
        </xdr:graphicFrame>
      </mc:Choice>
      <mc:Fallback xmlns="">
        <xdr:sp macro="" textlink="">
          <xdr:nvSpPr>
            <xdr:cNvPr id="0" name=""/>
            <xdr:cNvSpPr>
              <a:spLocks noTextEdit="1"/>
            </xdr:cNvSpPr>
          </xdr:nvSpPr>
          <xdr:spPr>
            <a:xfrm>
              <a:off x="3538946" y="776500"/>
              <a:ext cx="3535510" cy="753832"/>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xdr:from>
      <xdr:col>14</xdr:col>
      <xdr:colOff>9526</xdr:colOff>
      <xdr:row>3</xdr:row>
      <xdr:rowOff>85165</xdr:rowOff>
    </xdr:from>
    <xdr:to>
      <xdr:col>23</xdr:col>
      <xdr:colOff>109906</xdr:colOff>
      <xdr:row>7</xdr:row>
      <xdr:rowOff>146538</xdr:rowOff>
    </xdr:to>
    <xdr:sp macro="" textlink="">
      <xdr:nvSpPr>
        <xdr:cNvPr id="54" name="Rectangle: Rounded Corners 53">
          <a:extLst>
            <a:ext uri="{FF2B5EF4-FFF2-40B4-BE49-F238E27FC236}">
              <a16:creationId xmlns:a16="http://schemas.microsoft.com/office/drawing/2014/main" id="{3B6E275D-8693-4AF5-A7F6-C9C5E53E91DF}"/>
            </a:ext>
          </a:extLst>
        </xdr:cNvPr>
        <xdr:cNvSpPr/>
      </xdr:nvSpPr>
      <xdr:spPr>
        <a:xfrm>
          <a:off x="8543926" y="656665"/>
          <a:ext cx="5586780" cy="823373"/>
        </a:xfrm>
        <a:prstGeom prst="roundRect">
          <a:avLst>
            <a:gd name="adj" fmla="val 2270"/>
          </a:avLst>
        </a:prstGeom>
        <a:solidFill>
          <a:srgbClr val="272B2F"/>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237833</xdr:colOff>
      <xdr:row>2</xdr:row>
      <xdr:rowOff>141423</xdr:rowOff>
    </xdr:from>
    <xdr:to>
      <xdr:col>12</xdr:col>
      <xdr:colOff>39057</xdr:colOff>
      <xdr:row>6</xdr:row>
      <xdr:rowOff>37024</xdr:rowOff>
    </xdr:to>
    <xdr:sp macro="" textlink="">
      <xdr:nvSpPr>
        <xdr:cNvPr id="27" name="Rectangle: Rounded Corners 26">
          <a:extLst>
            <a:ext uri="{FF2B5EF4-FFF2-40B4-BE49-F238E27FC236}">
              <a16:creationId xmlns:a16="http://schemas.microsoft.com/office/drawing/2014/main" id="{6ED05C6F-5411-418E-84B6-FDFDF39961EF}"/>
            </a:ext>
          </a:extLst>
        </xdr:cNvPr>
        <xdr:cNvSpPr/>
      </xdr:nvSpPr>
      <xdr:spPr>
        <a:xfrm>
          <a:off x="3273927" y="331923"/>
          <a:ext cx="4051755" cy="657601"/>
        </a:xfrm>
        <a:prstGeom prst="roundRect">
          <a:avLst>
            <a:gd name="adj" fmla="val 7747"/>
          </a:avLst>
        </a:prstGeom>
        <a:solidFill>
          <a:srgbClr val="212528"/>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206080</xdr:colOff>
      <xdr:row>3</xdr:row>
      <xdr:rowOff>19706</xdr:rowOff>
    </xdr:from>
    <xdr:to>
      <xdr:col>13</xdr:col>
      <xdr:colOff>381000</xdr:colOff>
      <xdr:row>6</xdr:row>
      <xdr:rowOff>67685</xdr:rowOff>
    </xdr:to>
    <xdr:sp macro="" textlink="">
      <xdr:nvSpPr>
        <xdr:cNvPr id="28" name="TextBox 27">
          <a:extLst>
            <a:ext uri="{FF2B5EF4-FFF2-40B4-BE49-F238E27FC236}">
              <a16:creationId xmlns:a16="http://schemas.microsoft.com/office/drawing/2014/main" id="{DF60EABD-6A3A-4F0F-8D39-B8216DBD02F9}"/>
            </a:ext>
          </a:extLst>
        </xdr:cNvPr>
        <xdr:cNvSpPr txBox="1"/>
      </xdr:nvSpPr>
      <xdr:spPr>
        <a:xfrm>
          <a:off x="3254080" y="591206"/>
          <a:ext cx="5051720" cy="6194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800" b="0">
              <a:solidFill>
                <a:schemeClr val="bg1"/>
              </a:solidFill>
              <a:latin typeface="Bahnschrift SemiBold" panose="020B0502040204020203" pitchFamily="34" charset="0"/>
            </a:rPr>
            <a:t>Sales Performance Overview</a:t>
          </a:r>
        </a:p>
      </xdr:txBody>
    </xdr:sp>
    <xdr:clientData/>
  </xdr:twoCellAnchor>
  <xdr:twoCellAnchor editAs="oneCell">
    <xdr:from>
      <xdr:col>15</xdr:col>
      <xdr:colOff>483577</xdr:colOff>
      <xdr:row>3</xdr:row>
      <xdr:rowOff>150778</xdr:rowOff>
    </xdr:from>
    <xdr:to>
      <xdr:col>23</xdr:col>
      <xdr:colOff>87924</xdr:colOff>
      <xdr:row>7</xdr:row>
      <xdr:rowOff>102576</xdr:rowOff>
    </xdr:to>
    <mc:AlternateContent xmlns:mc="http://schemas.openxmlformats.org/markup-compatibility/2006" xmlns:a14="http://schemas.microsoft.com/office/drawing/2010/main">
      <mc:Choice Requires="a14">
        <xdr:graphicFrame macro="">
          <xdr:nvGraphicFramePr>
            <xdr:cNvPr id="30" name="Country 1">
              <a:extLst>
                <a:ext uri="{FF2B5EF4-FFF2-40B4-BE49-F238E27FC236}">
                  <a16:creationId xmlns:a16="http://schemas.microsoft.com/office/drawing/2014/main" id="{CB2056AF-39D2-4BE3-A001-EC42F880D080}"/>
                </a:ext>
              </a:extLst>
            </xdr:cNvPr>
            <xdr:cNvGraphicFramePr/>
          </xdr:nvGraphicFramePr>
          <xdr:xfrm>
            <a:off x="0" y="0"/>
            <a:ext cx="0" cy="0"/>
          </xdr:xfrm>
          <a:graphic>
            <a:graphicData uri="http://schemas.microsoft.com/office/drawing/2010/slicer">
              <sle:slicer xmlns:sle="http://schemas.microsoft.com/office/drawing/2010/slicer" name="Country 1"/>
            </a:graphicData>
          </a:graphic>
        </xdr:graphicFrame>
      </mc:Choice>
      <mc:Fallback xmlns="">
        <xdr:sp macro="" textlink="">
          <xdr:nvSpPr>
            <xdr:cNvPr id="0" name=""/>
            <xdr:cNvSpPr>
              <a:spLocks noTextEdit="1"/>
            </xdr:cNvSpPr>
          </xdr:nvSpPr>
          <xdr:spPr>
            <a:xfrm>
              <a:off x="9627577" y="722278"/>
              <a:ext cx="4481147" cy="71379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17</xdr:col>
      <xdr:colOff>364881</xdr:colOff>
      <xdr:row>8</xdr:row>
      <xdr:rowOff>127662</xdr:rowOff>
    </xdr:from>
    <xdr:to>
      <xdr:col>20</xdr:col>
      <xdr:colOff>329712</xdr:colOff>
      <xdr:row>16</xdr:row>
      <xdr:rowOff>131885</xdr:rowOff>
    </xdr:to>
    <xdr:sp macro="" textlink="">
      <xdr:nvSpPr>
        <xdr:cNvPr id="61" name="Rectangle: Rounded Corners 60">
          <a:extLst>
            <a:ext uri="{FF2B5EF4-FFF2-40B4-BE49-F238E27FC236}">
              <a16:creationId xmlns:a16="http://schemas.microsoft.com/office/drawing/2014/main" id="{F7711A78-8CAD-4385-8D1B-0E602AD0E273}"/>
            </a:ext>
          </a:extLst>
        </xdr:cNvPr>
        <xdr:cNvSpPr/>
      </xdr:nvSpPr>
      <xdr:spPr>
        <a:xfrm>
          <a:off x="10750415" y="1651662"/>
          <a:ext cx="1797573" cy="1528223"/>
        </a:xfrm>
        <a:prstGeom prst="roundRect">
          <a:avLst>
            <a:gd name="adj" fmla="val 2270"/>
          </a:avLst>
        </a:prstGeom>
        <a:solidFill>
          <a:srgbClr val="272B2F"/>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404045</xdr:colOff>
      <xdr:row>8</xdr:row>
      <xdr:rowOff>178080</xdr:rowOff>
    </xdr:from>
    <xdr:to>
      <xdr:col>20</xdr:col>
      <xdr:colOff>285545</xdr:colOff>
      <xdr:row>16</xdr:row>
      <xdr:rowOff>73269</xdr:rowOff>
    </xdr:to>
    <mc:AlternateContent xmlns:mc="http://schemas.openxmlformats.org/markup-compatibility/2006" xmlns:a14="http://schemas.microsoft.com/office/drawing/2010/main">
      <mc:Choice Requires="a14">
        <xdr:graphicFrame macro="">
          <xdr:nvGraphicFramePr>
            <xdr:cNvPr id="31" name="Brand 1">
              <a:extLst>
                <a:ext uri="{FF2B5EF4-FFF2-40B4-BE49-F238E27FC236}">
                  <a16:creationId xmlns:a16="http://schemas.microsoft.com/office/drawing/2014/main" id="{D1065EA1-28E7-4FB6-B5C4-A2449AF5C52B}"/>
                </a:ext>
              </a:extLst>
            </xdr:cNvPr>
            <xdr:cNvGraphicFramePr/>
          </xdr:nvGraphicFramePr>
          <xdr:xfrm>
            <a:off x="0" y="0"/>
            <a:ext cx="0" cy="0"/>
          </xdr:xfrm>
          <a:graphic>
            <a:graphicData uri="http://schemas.microsoft.com/office/drawing/2010/slicer">
              <sle:slicer xmlns:sle="http://schemas.microsoft.com/office/drawing/2010/slicer" name="Brand 1"/>
            </a:graphicData>
          </a:graphic>
        </xdr:graphicFrame>
      </mc:Choice>
      <mc:Fallback xmlns="">
        <xdr:sp macro="" textlink="">
          <xdr:nvSpPr>
            <xdr:cNvPr id="0" name=""/>
            <xdr:cNvSpPr>
              <a:spLocks noTextEdit="1"/>
            </xdr:cNvSpPr>
          </xdr:nvSpPr>
          <xdr:spPr>
            <a:xfrm>
              <a:off x="10767245" y="1702080"/>
              <a:ext cx="1710300" cy="141918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20</xdr:col>
      <xdr:colOff>400050</xdr:colOff>
      <xdr:row>8</xdr:row>
      <xdr:rowOff>126197</xdr:rowOff>
    </xdr:from>
    <xdr:to>
      <xdr:col>23</xdr:col>
      <xdr:colOff>197827</xdr:colOff>
      <xdr:row>16</xdr:row>
      <xdr:rowOff>130420</xdr:rowOff>
    </xdr:to>
    <xdr:sp macro="" textlink="">
      <xdr:nvSpPr>
        <xdr:cNvPr id="62" name="Rectangle: Rounded Corners 61">
          <a:extLst>
            <a:ext uri="{FF2B5EF4-FFF2-40B4-BE49-F238E27FC236}">
              <a16:creationId xmlns:a16="http://schemas.microsoft.com/office/drawing/2014/main" id="{3722F163-2F3A-4685-8A8E-27358CEE6A06}"/>
            </a:ext>
          </a:extLst>
        </xdr:cNvPr>
        <xdr:cNvSpPr/>
      </xdr:nvSpPr>
      <xdr:spPr>
        <a:xfrm>
          <a:off x="12618326" y="1650197"/>
          <a:ext cx="1630518" cy="1528223"/>
        </a:xfrm>
        <a:prstGeom prst="roundRect">
          <a:avLst>
            <a:gd name="adj" fmla="val 2270"/>
          </a:avLst>
        </a:prstGeom>
        <a:solidFill>
          <a:srgbClr val="272B2F"/>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425089</xdr:colOff>
      <xdr:row>8</xdr:row>
      <xdr:rowOff>187861</xdr:rowOff>
    </xdr:from>
    <xdr:to>
      <xdr:col>23</xdr:col>
      <xdr:colOff>175733</xdr:colOff>
      <xdr:row>15</xdr:row>
      <xdr:rowOff>175846</xdr:rowOff>
    </xdr:to>
    <mc:AlternateContent xmlns:mc="http://schemas.openxmlformats.org/markup-compatibility/2006" xmlns:a14="http://schemas.microsoft.com/office/drawing/2010/main">
      <mc:Choice Requires="a14">
        <xdr:graphicFrame macro="">
          <xdr:nvGraphicFramePr>
            <xdr:cNvPr id="32" name="Product Type 1">
              <a:extLst>
                <a:ext uri="{FF2B5EF4-FFF2-40B4-BE49-F238E27FC236}">
                  <a16:creationId xmlns:a16="http://schemas.microsoft.com/office/drawing/2014/main" id="{7F0F2682-5628-4BB1-96A0-DCAD188DCEEC}"/>
                </a:ext>
              </a:extLst>
            </xdr:cNvPr>
            <xdr:cNvGraphicFramePr/>
          </xdr:nvGraphicFramePr>
          <xdr:xfrm>
            <a:off x="0" y="0"/>
            <a:ext cx="0" cy="0"/>
          </xdr:xfrm>
          <a:graphic>
            <a:graphicData uri="http://schemas.microsoft.com/office/drawing/2010/slicer">
              <sle:slicer xmlns:sle="http://schemas.microsoft.com/office/drawing/2010/slicer" name="Product Type 1"/>
            </a:graphicData>
          </a:graphic>
        </xdr:graphicFrame>
      </mc:Choice>
      <mc:Fallback xmlns="">
        <xdr:sp macro="" textlink="">
          <xdr:nvSpPr>
            <xdr:cNvPr id="0" name=""/>
            <xdr:cNvSpPr>
              <a:spLocks noTextEdit="1"/>
            </xdr:cNvSpPr>
          </xdr:nvSpPr>
          <xdr:spPr>
            <a:xfrm>
              <a:off x="12617089" y="1711861"/>
              <a:ext cx="1579444" cy="132148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444443</xdr:colOff>
      <xdr:row>6</xdr:row>
      <xdr:rowOff>14693</xdr:rowOff>
    </xdr:from>
    <xdr:to>
      <xdr:col>11</xdr:col>
      <xdr:colOff>501316</xdr:colOff>
      <xdr:row>6</xdr:row>
      <xdr:rowOff>30079</xdr:rowOff>
    </xdr:to>
    <xdr:cxnSp macro="">
      <xdr:nvCxnSpPr>
        <xdr:cNvPr id="36" name="Straight Arrow Connector 35">
          <a:extLst>
            <a:ext uri="{FF2B5EF4-FFF2-40B4-BE49-F238E27FC236}">
              <a16:creationId xmlns:a16="http://schemas.microsoft.com/office/drawing/2014/main" id="{A4AB30D3-E704-EFB0-7BA8-BF0B3A6827BD}"/>
            </a:ext>
          </a:extLst>
        </xdr:cNvPr>
        <xdr:cNvCxnSpPr/>
      </xdr:nvCxnSpPr>
      <xdr:spPr>
        <a:xfrm>
          <a:off x="3502469" y="1157693"/>
          <a:ext cx="3726505" cy="15386"/>
        </a:xfrm>
        <a:prstGeom prst="straightConnector1">
          <a:avLst/>
        </a:prstGeom>
        <a:ln w="44450" cmpd="sng">
          <a:solidFill>
            <a:srgbClr val="F17925"/>
          </a:solidFill>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404938</xdr:colOff>
      <xdr:row>9</xdr:row>
      <xdr:rowOff>80434</xdr:rowOff>
    </xdr:from>
    <xdr:to>
      <xdr:col>10</xdr:col>
      <xdr:colOff>433078</xdr:colOff>
      <xdr:row>12</xdr:row>
      <xdr:rowOff>46107</xdr:rowOff>
    </xdr:to>
    <xdr:sp macro="" textlink="ANALYSIS!G8">
      <xdr:nvSpPr>
        <xdr:cNvPr id="43" name="TextBox 42">
          <a:extLst>
            <a:ext uri="{FF2B5EF4-FFF2-40B4-BE49-F238E27FC236}">
              <a16:creationId xmlns:a16="http://schemas.microsoft.com/office/drawing/2014/main" id="{F3EC015D-8D31-4C40-AF97-223AE85697E4}"/>
            </a:ext>
          </a:extLst>
        </xdr:cNvPr>
        <xdr:cNvSpPr txBox="1"/>
      </xdr:nvSpPr>
      <xdr:spPr>
        <a:xfrm>
          <a:off x="5281738" y="1794934"/>
          <a:ext cx="1247340" cy="5371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09A5D4CE-02E3-4C2F-9B1E-3C92928F64E5}" type="TxLink">
            <a:rPr lang="en-US" sz="2400" b="1" i="0" u="none" strike="noStrike">
              <a:solidFill>
                <a:schemeClr val="bg1"/>
              </a:solidFill>
              <a:latin typeface="Aptos Narrow"/>
            </a:rPr>
            <a:pPr algn="l"/>
            <a:t>$193K</a:t>
          </a:fld>
          <a:endParaRPr lang="en-US" sz="5400" b="1">
            <a:solidFill>
              <a:schemeClr val="bg1"/>
            </a:solidFill>
            <a:latin typeface="Bahnschrift SemiBold" panose="020B0502040204020203" pitchFamily="34" charset="0"/>
          </a:endParaRPr>
        </a:p>
      </xdr:txBody>
    </xdr:sp>
    <xdr:clientData/>
  </xdr:twoCellAnchor>
  <xdr:twoCellAnchor>
    <xdr:from>
      <xdr:col>5</xdr:col>
      <xdr:colOff>569231</xdr:colOff>
      <xdr:row>9</xdr:row>
      <xdr:rowOff>162402</xdr:rowOff>
    </xdr:from>
    <xdr:to>
      <xdr:col>8</xdr:col>
      <xdr:colOff>456993</xdr:colOff>
      <xdr:row>13</xdr:row>
      <xdr:rowOff>19882</xdr:rowOff>
    </xdr:to>
    <xdr:sp macro="" textlink="">
      <xdr:nvSpPr>
        <xdr:cNvPr id="44" name="TextBox 43">
          <a:extLst>
            <a:ext uri="{FF2B5EF4-FFF2-40B4-BE49-F238E27FC236}">
              <a16:creationId xmlns:a16="http://schemas.microsoft.com/office/drawing/2014/main" id="{E26E494E-0A12-461D-976E-97A9A79C32DF}"/>
            </a:ext>
          </a:extLst>
        </xdr:cNvPr>
        <xdr:cNvSpPr txBox="1"/>
      </xdr:nvSpPr>
      <xdr:spPr>
        <a:xfrm>
          <a:off x="3617231" y="1876902"/>
          <a:ext cx="1716562" cy="619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0">
              <a:solidFill>
                <a:schemeClr val="bg1">
                  <a:alpha val="60000"/>
                </a:schemeClr>
              </a:solidFill>
              <a:latin typeface="Bahnschrift SemiBold" panose="020B0502040204020203" pitchFamily="34" charset="0"/>
            </a:rPr>
            <a:t>Total Sales</a:t>
          </a:r>
        </a:p>
      </xdr:txBody>
    </xdr:sp>
    <xdr:clientData/>
  </xdr:twoCellAnchor>
  <xdr:twoCellAnchor>
    <xdr:from>
      <xdr:col>5</xdr:col>
      <xdr:colOff>541378</xdr:colOff>
      <xdr:row>11</xdr:row>
      <xdr:rowOff>130611</xdr:rowOff>
    </xdr:from>
    <xdr:to>
      <xdr:col>9</xdr:col>
      <xdr:colOff>195263</xdr:colOff>
      <xdr:row>14</xdr:row>
      <xdr:rowOff>178591</xdr:rowOff>
    </xdr:to>
    <xdr:sp macro="" textlink="">
      <xdr:nvSpPr>
        <xdr:cNvPr id="45" name="TextBox 44">
          <a:extLst>
            <a:ext uri="{FF2B5EF4-FFF2-40B4-BE49-F238E27FC236}">
              <a16:creationId xmlns:a16="http://schemas.microsoft.com/office/drawing/2014/main" id="{F921834A-9EBC-4DD1-BDC7-C7C3F63B6A8F}"/>
            </a:ext>
          </a:extLst>
        </xdr:cNvPr>
        <xdr:cNvSpPr txBox="1"/>
      </xdr:nvSpPr>
      <xdr:spPr>
        <a:xfrm>
          <a:off x="3589378" y="2226111"/>
          <a:ext cx="2092285" cy="619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2000" b="0">
              <a:solidFill>
                <a:schemeClr val="bg1">
                  <a:alpha val="60000"/>
                </a:schemeClr>
              </a:solidFill>
              <a:latin typeface="Bahnschrift SemiBold" panose="020B0502040204020203" pitchFamily="34" charset="0"/>
              <a:ea typeface="+mn-ea"/>
              <a:cs typeface="+mn-cs"/>
            </a:rPr>
            <a:t>Quantity Sold</a:t>
          </a:r>
        </a:p>
      </xdr:txBody>
    </xdr:sp>
    <xdr:clientData/>
  </xdr:twoCellAnchor>
  <xdr:twoCellAnchor>
    <xdr:from>
      <xdr:col>10</xdr:col>
      <xdr:colOff>562024</xdr:colOff>
      <xdr:row>8</xdr:row>
      <xdr:rowOff>123266</xdr:rowOff>
    </xdr:from>
    <xdr:to>
      <xdr:col>17</xdr:col>
      <xdr:colOff>256761</xdr:colOff>
      <xdr:row>16</xdr:row>
      <xdr:rowOff>131886</xdr:rowOff>
    </xdr:to>
    <xdr:sp macro="" textlink="">
      <xdr:nvSpPr>
        <xdr:cNvPr id="77" name="Rectangle: Rounded Corners 76">
          <a:extLst>
            <a:ext uri="{FF2B5EF4-FFF2-40B4-BE49-F238E27FC236}">
              <a16:creationId xmlns:a16="http://schemas.microsoft.com/office/drawing/2014/main" id="{5D8204A8-FB3C-4579-9E23-19F59D2BF321}"/>
            </a:ext>
          </a:extLst>
        </xdr:cNvPr>
        <xdr:cNvSpPr/>
      </xdr:nvSpPr>
      <xdr:spPr>
        <a:xfrm>
          <a:off x="6648731" y="1647266"/>
          <a:ext cx="3955432" cy="1532620"/>
        </a:xfrm>
        <a:prstGeom prst="roundRect">
          <a:avLst>
            <a:gd name="adj" fmla="val 2270"/>
          </a:avLst>
        </a:prstGeom>
        <a:solidFill>
          <a:srgbClr val="272B2F"/>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234592</xdr:colOff>
      <xdr:row>14</xdr:row>
      <xdr:rowOff>11239</xdr:rowOff>
    </xdr:from>
    <xdr:to>
      <xdr:col>14</xdr:col>
      <xdr:colOff>251167</xdr:colOff>
      <xdr:row>17</xdr:row>
      <xdr:rowOff>59219</xdr:rowOff>
    </xdr:to>
    <xdr:sp macro="" textlink="">
      <xdr:nvSpPr>
        <xdr:cNvPr id="47" name="TextBox 46">
          <a:extLst>
            <a:ext uri="{FF2B5EF4-FFF2-40B4-BE49-F238E27FC236}">
              <a16:creationId xmlns:a16="http://schemas.microsoft.com/office/drawing/2014/main" id="{FA544788-8134-4B5E-9AEC-83C6CC77AD08}"/>
            </a:ext>
          </a:extLst>
        </xdr:cNvPr>
        <xdr:cNvSpPr txBox="1"/>
      </xdr:nvSpPr>
      <xdr:spPr>
        <a:xfrm>
          <a:off x="6924073" y="2678239"/>
          <a:ext cx="1840979" cy="619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0">
              <a:solidFill>
                <a:schemeClr val="bg1">
                  <a:alpha val="60000"/>
                </a:schemeClr>
              </a:solidFill>
              <a:latin typeface="Bahnschrift SemiBold" panose="020B0502040204020203" pitchFamily="34" charset="0"/>
            </a:rPr>
            <a:t>Top</a:t>
          </a:r>
          <a:r>
            <a:rPr lang="en-US" sz="2000" b="0" baseline="0">
              <a:solidFill>
                <a:schemeClr val="bg1">
                  <a:alpha val="60000"/>
                </a:schemeClr>
              </a:solidFill>
              <a:latin typeface="Bahnschrift SemiBold" panose="020B0502040204020203" pitchFamily="34" charset="0"/>
            </a:rPr>
            <a:t> Brand</a:t>
          </a:r>
          <a:endParaRPr lang="en-US" sz="2000" b="0">
            <a:solidFill>
              <a:schemeClr val="bg1">
                <a:alpha val="60000"/>
              </a:schemeClr>
            </a:solidFill>
            <a:latin typeface="Bahnschrift SemiBold" panose="020B0502040204020203" pitchFamily="34" charset="0"/>
          </a:endParaRPr>
        </a:p>
      </xdr:txBody>
    </xdr:sp>
    <xdr:clientData/>
  </xdr:twoCellAnchor>
  <xdr:twoCellAnchor>
    <xdr:from>
      <xdr:col>5</xdr:col>
      <xdr:colOff>535625</xdr:colOff>
      <xdr:row>13</xdr:row>
      <xdr:rowOff>91799</xdr:rowOff>
    </xdr:from>
    <xdr:to>
      <xdr:col>8</xdr:col>
      <xdr:colOff>275075</xdr:colOff>
      <xdr:row>16</xdr:row>
      <xdr:rowOff>161168</xdr:rowOff>
    </xdr:to>
    <xdr:grpSp>
      <xdr:nvGrpSpPr>
        <xdr:cNvPr id="51" name="Group 50">
          <a:extLst>
            <a:ext uri="{FF2B5EF4-FFF2-40B4-BE49-F238E27FC236}">
              <a16:creationId xmlns:a16="http://schemas.microsoft.com/office/drawing/2014/main" id="{C625D6DC-0100-2706-4EFD-B8799604783B}"/>
            </a:ext>
          </a:extLst>
        </xdr:cNvPr>
        <xdr:cNvGrpSpPr/>
      </xdr:nvGrpSpPr>
      <xdr:grpSpPr>
        <a:xfrm>
          <a:off x="3583625" y="2568299"/>
          <a:ext cx="1568250" cy="640869"/>
          <a:chOff x="6452001" y="1682900"/>
          <a:chExt cx="1563853" cy="640869"/>
        </a:xfrm>
      </xdr:grpSpPr>
      <xdr:sp macro="" textlink="">
        <xdr:nvSpPr>
          <xdr:cNvPr id="46" name="TextBox 45">
            <a:extLst>
              <a:ext uri="{FF2B5EF4-FFF2-40B4-BE49-F238E27FC236}">
                <a16:creationId xmlns:a16="http://schemas.microsoft.com/office/drawing/2014/main" id="{31337CAC-0C7E-4876-B495-91FAA94E332E}"/>
              </a:ext>
            </a:extLst>
          </xdr:cNvPr>
          <xdr:cNvSpPr txBox="1"/>
        </xdr:nvSpPr>
        <xdr:spPr>
          <a:xfrm>
            <a:off x="6467306" y="1682900"/>
            <a:ext cx="1309044" cy="619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2000" b="0">
                <a:solidFill>
                  <a:schemeClr val="bg1">
                    <a:alpha val="60000"/>
                  </a:schemeClr>
                </a:solidFill>
                <a:latin typeface="Bahnschrift SemiBold" panose="020B0502040204020203" pitchFamily="34" charset="0"/>
                <a:ea typeface="+mn-ea"/>
                <a:cs typeface="+mn-cs"/>
              </a:rPr>
              <a:t>AOV</a:t>
            </a:r>
          </a:p>
        </xdr:txBody>
      </xdr:sp>
      <xdr:sp macro="" textlink="">
        <xdr:nvSpPr>
          <xdr:cNvPr id="48" name="TextBox 47">
            <a:extLst>
              <a:ext uri="{FF2B5EF4-FFF2-40B4-BE49-F238E27FC236}">
                <a16:creationId xmlns:a16="http://schemas.microsoft.com/office/drawing/2014/main" id="{E2ED86AF-4C94-4609-BA40-FFE8E7BC77B2}"/>
              </a:ext>
            </a:extLst>
          </xdr:cNvPr>
          <xdr:cNvSpPr txBox="1"/>
        </xdr:nvSpPr>
        <xdr:spPr>
          <a:xfrm>
            <a:off x="6452001" y="1964750"/>
            <a:ext cx="1563853" cy="3590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solidFill>
                  <a:schemeClr val="bg1">
                    <a:alpha val="60000"/>
                  </a:schemeClr>
                </a:solidFill>
                <a:latin typeface="Bahnschrift SemiBold" panose="020B0502040204020203" pitchFamily="34" charset="0"/>
              </a:rPr>
              <a:t>(Average order value)</a:t>
            </a:r>
          </a:p>
        </xdr:txBody>
      </xdr:sp>
    </xdr:grpSp>
    <xdr:clientData/>
  </xdr:twoCellAnchor>
  <xdr:twoCellAnchor>
    <xdr:from>
      <xdr:col>8</xdr:col>
      <xdr:colOff>414464</xdr:colOff>
      <xdr:row>11</xdr:row>
      <xdr:rowOff>95668</xdr:rowOff>
    </xdr:from>
    <xdr:to>
      <xdr:col>10</xdr:col>
      <xdr:colOff>442603</xdr:colOff>
      <xdr:row>14</xdr:row>
      <xdr:rowOff>61341</xdr:rowOff>
    </xdr:to>
    <xdr:sp macro="" textlink="ANALYSIS!G12">
      <xdr:nvSpPr>
        <xdr:cNvPr id="49" name="TextBox 48">
          <a:extLst>
            <a:ext uri="{FF2B5EF4-FFF2-40B4-BE49-F238E27FC236}">
              <a16:creationId xmlns:a16="http://schemas.microsoft.com/office/drawing/2014/main" id="{B13AF408-20EE-4EEE-93CA-70617BB77264}"/>
            </a:ext>
          </a:extLst>
        </xdr:cNvPr>
        <xdr:cNvSpPr txBox="1"/>
      </xdr:nvSpPr>
      <xdr:spPr>
        <a:xfrm>
          <a:off x="5291264" y="2191168"/>
          <a:ext cx="1247339" cy="5371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826BC227-0BA8-461D-84E6-16B74DAB9F47}" type="TxLink">
            <a:rPr lang="en-US" sz="2400" b="1" i="0" u="none" strike="noStrike">
              <a:solidFill>
                <a:schemeClr val="bg1"/>
              </a:solidFill>
              <a:latin typeface="Aptos Narrow"/>
              <a:ea typeface="+mn-ea"/>
              <a:cs typeface="+mn-cs"/>
            </a:rPr>
            <a:pPr marL="0" indent="0"/>
            <a:t>1097</a:t>
          </a:fld>
          <a:endParaRPr lang="en-US" sz="2400" b="1" i="0" u="none" strike="noStrike">
            <a:solidFill>
              <a:schemeClr val="bg1"/>
            </a:solidFill>
            <a:latin typeface="Aptos Narrow"/>
            <a:ea typeface="+mn-ea"/>
            <a:cs typeface="+mn-cs"/>
          </a:endParaRPr>
        </a:p>
      </xdr:txBody>
    </xdr:sp>
    <xdr:clientData/>
  </xdr:twoCellAnchor>
  <xdr:twoCellAnchor>
    <xdr:from>
      <xdr:col>8</xdr:col>
      <xdr:colOff>404939</xdr:colOff>
      <xdr:row>13</xdr:row>
      <xdr:rowOff>79835</xdr:rowOff>
    </xdr:from>
    <xdr:to>
      <xdr:col>10</xdr:col>
      <xdr:colOff>433079</xdr:colOff>
      <xdr:row>16</xdr:row>
      <xdr:rowOff>45508</xdr:rowOff>
    </xdr:to>
    <xdr:sp macro="" textlink="ANALYSIS!G15">
      <xdr:nvSpPr>
        <xdr:cNvPr id="50" name="TextBox 49">
          <a:extLst>
            <a:ext uri="{FF2B5EF4-FFF2-40B4-BE49-F238E27FC236}">
              <a16:creationId xmlns:a16="http://schemas.microsoft.com/office/drawing/2014/main" id="{C70E49BA-E470-4320-B817-5C6754D520A3}"/>
            </a:ext>
          </a:extLst>
        </xdr:cNvPr>
        <xdr:cNvSpPr txBox="1"/>
      </xdr:nvSpPr>
      <xdr:spPr>
        <a:xfrm>
          <a:off x="5281739" y="2556335"/>
          <a:ext cx="1247340" cy="5371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9B526E39-3533-4A1E-A480-F5912FDC3B2C}" type="TxLink">
            <a:rPr lang="en-US" sz="2400" b="1" i="0" u="none" strike="noStrike">
              <a:solidFill>
                <a:schemeClr val="bg1"/>
              </a:solidFill>
              <a:latin typeface="Aptos Narrow"/>
              <a:ea typeface="+mn-ea"/>
              <a:cs typeface="+mn-cs"/>
            </a:rPr>
            <a:pPr marL="0" indent="0"/>
            <a:t>$176</a:t>
          </a:fld>
          <a:endParaRPr lang="en-US" sz="2400" b="1" i="0" u="none" strike="noStrike">
            <a:solidFill>
              <a:schemeClr val="bg1"/>
            </a:solidFill>
            <a:latin typeface="Aptos Narrow"/>
            <a:ea typeface="+mn-ea"/>
            <a:cs typeface="+mn-cs"/>
          </a:endParaRPr>
        </a:p>
      </xdr:txBody>
    </xdr:sp>
    <xdr:clientData/>
  </xdr:twoCellAnchor>
  <xdr:twoCellAnchor editAs="oneCell">
    <xdr:from>
      <xdr:col>14</xdr:col>
      <xdr:colOff>168672</xdr:colOff>
      <xdr:row>3</xdr:row>
      <xdr:rowOff>57150</xdr:rowOff>
    </xdr:from>
    <xdr:to>
      <xdr:col>15</xdr:col>
      <xdr:colOff>368190</xdr:colOff>
      <xdr:row>7</xdr:row>
      <xdr:rowOff>105432</xdr:rowOff>
    </xdr:to>
    <xdr:pic>
      <xdr:nvPicPr>
        <xdr:cNvPr id="56" name="Graphic 55" descr="Map with pin outline">
          <a:extLst>
            <a:ext uri="{FF2B5EF4-FFF2-40B4-BE49-F238E27FC236}">
              <a16:creationId xmlns:a16="http://schemas.microsoft.com/office/drawing/2014/main" id="{E599729A-457D-D76C-F004-00A6504C3C8A}"/>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8703072" y="628650"/>
          <a:ext cx="809118" cy="810282"/>
        </a:xfrm>
        <a:prstGeom prst="rect">
          <a:avLst/>
        </a:prstGeom>
      </xdr:spPr>
    </xdr:pic>
    <xdr:clientData/>
  </xdr:twoCellAnchor>
  <xdr:twoCellAnchor editAs="oneCell">
    <xdr:from>
      <xdr:col>22</xdr:col>
      <xdr:colOff>223537</xdr:colOff>
      <xdr:row>13</xdr:row>
      <xdr:rowOff>122634</xdr:rowOff>
    </xdr:from>
    <xdr:to>
      <xdr:col>23</xdr:col>
      <xdr:colOff>157936</xdr:colOff>
      <xdr:row>16</xdr:row>
      <xdr:rowOff>96837</xdr:rowOff>
    </xdr:to>
    <xdr:pic>
      <xdr:nvPicPr>
        <xdr:cNvPr id="58" name="Graphic 57" descr="Tag outline">
          <a:extLst>
            <a:ext uri="{FF2B5EF4-FFF2-40B4-BE49-F238E27FC236}">
              <a16:creationId xmlns:a16="http://schemas.microsoft.com/office/drawing/2014/main" id="{4BBFA4F4-60C3-BB0F-1712-BC1EDF3F4806}"/>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3634737" y="2599134"/>
          <a:ext cx="543999" cy="545703"/>
        </a:xfrm>
        <a:prstGeom prst="rect">
          <a:avLst/>
        </a:prstGeom>
      </xdr:spPr>
    </xdr:pic>
    <xdr:clientData/>
  </xdr:twoCellAnchor>
  <xdr:twoCellAnchor editAs="oneCell">
    <xdr:from>
      <xdr:col>19</xdr:col>
      <xdr:colOff>400385</xdr:colOff>
      <xdr:row>14</xdr:row>
      <xdr:rowOff>5952</xdr:rowOff>
    </xdr:from>
    <xdr:to>
      <xdr:col>20</xdr:col>
      <xdr:colOff>259841</xdr:colOff>
      <xdr:row>16</xdr:row>
      <xdr:rowOff>95779</xdr:rowOff>
    </xdr:to>
    <xdr:pic>
      <xdr:nvPicPr>
        <xdr:cNvPr id="60" name="Graphic 59" descr="Badge Tm outline">
          <a:extLst>
            <a:ext uri="{FF2B5EF4-FFF2-40B4-BE49-F238E27FC236}">
              <a16:creationId xmlns:a16="http://schemas.microsoft.com/office/drawing/2014/main" id="{4047CBB2-3037-7DBC-8BED-4F7136A631BA}"/>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1937541" y="2672952"/>
          <a:ext cx="466675" cy="470827"/>
        </a:xfrm>
        <a:prstGeom prst="rect">
          <a:avLst/>
        </a:prstGeom>
      </xdr:spPr>
    </xdr:pic>
    <xdr:clientData/>
  </xdr:twoCellAnchor>
  <xdr:twoCellAnchor>
    <xdr:from>
      <xdr:col>12</xdr:col>
      <xdr:colOff>243341</xdr:colOff>
      <xdr:row>9</xdr:row>
      <xdr:rowOff>110528</xdr:rowOff>
    </xdr:from>
    <xdr:to>
      <xdr:col>14</xdr:col>
      <xdr:colOff>276258</xdr:colOff>
      <xdr:row>12</xdr:row>
      <xdr:rowOff>76201</xdr:rowOff>
    </xdr:to>
    <xdr:sp macro="" textlink="ANALYSIS!F22">
      <xdr:nvSpPr>
        <xdr:cNvPr id="66" name="TextBox 65">
          <a:extLst>
            <a:ext uri="{FF2B5EF4-FFF2-40B4-BE49-F238E27FC236}">
              <a16:creationId xmlns:a16="http://schemas.microsoft.com/office/drawing/2014/main" id="{E945848F-7433-4B3B-9A14-F761E6F96F35}"/>
            </a:ext>
          </a:extLst>
        </xdr:cNvPr>
        <xdr:cNvSpPr txBox="1"/>
      </xdr:nvSpPr>
      <xdr:spPr>
        <a:xfrm>
          <a:off x="7540956" y="1825028"/>
          <a:ext cx="1249187" cy="5371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EC17339D-E7DF-4B19-815C-8483746CB9AE}" type="TxLink">
            <a:rPr lang="en-US" sz="3200" b="1" i="0" u="none" strike="noStrike">
              <a:solidFill>
                <a:schemeClr val="bg1"/>
              </a:solidFill>
              <a:latin typeface="Aptos Narrow"/>
              <a:ea typeface="+mn-ea"/>
              <a:cs typeface="+mn-cs"/>
            </a:rPr>
            <a:pPr marL="0" indent="0"/>
            <a:t>Nike</a:t>
          </a:fld>
          <a:endParaRPr lang="en-US" sz="3200" b="1" i="0" u="none" strike="noStrike">
            <a:solidFill>
              <a:schemeClr val="bg1"/>
            </a:solidFill>
            <a:latin typeface="Aptos Narrow"/>
            <a:ea typeface="+mn-ea"/>
            <a:cs typeface="+mn-cs"/>
          </a:endParaRPr>
        </a:p>
      </xdr:txBody>
    </xdr:sp>
    <xdr:clientData/>
  </xdr:twoCellAnchor>
  <xdr:twoCellAnchor>
    <xdr:from>
      <xdr:col>12</xdr:col>
      <xdr:colOff>242191</xdr:colOff>
      <xdr:row>11</xdr:row>
      <xdr:rowOff>133910</xdr:rowOff>
    </xdr:from>
    <xdr:to>
      <xdr:col>14</xdr:col>
      <xdr:colOff>564169</xdr:colOff>
      <xdr:row>14</xdr:row>
      <xdr:rowOff>99583</xdr:rowOff>
    </xdr:to>
    <xdr:sp macro="" textlink="ANALYSIS!G22">
      <xdr:nvSpPr>
        <xdr:cNvPr id="67" name="TextBox 66">
          <a:extLst>
            <a:ext uri="{FF2B5EF4-FFF2-40B4-BE49-F238E27FC236}">
              <a16:creationId xmlns:a16="http://schemas.microsoft.com/office/drawing/2014/main" id="{0A8873E1-D109-43D2-8D20-BE23B0834D51}"/>
            </a:ext>
          </a:extLst>
        </xdr:cNvPr>
        <xdr:cNvSpPr txBox="1"/>
      </xdr:nvSpPr>
      <xdr:spPr>
        <a:xfrm>
          <a:off x="7539806" y="2229410"/>
          <a:ext cx="1538248" cy="5371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993C5F41-6795-4F18-8A2F-906A65B63803}" type="TxLink">
            <a:rPr lang="en-US" sz="2800" b="1" i="0" u="none" strike="noStrike">
              <a:solidFill>
                <a:schemeClr val="bg1"/>
              </a:solidFill>
              <a:latin typeface="Aptos Narrow"/>
              <a:ea typeface="+mn-ea"/>
              <a:cs typeface="+mn-cs"/>
            </a:rPr>
            <a:pPr marL="0" indent="0"/>
            <a:t>$68K</a:t>
          </a:fld>
          <a:endParaRPr lang="en-US" sz="2800" b="1" i="0" u="none" strike="noStrike">
            <a:solidFill>
              <a:schemeClr val="bg1"/>
            </a:solidFill>
            <a:latin typeface="Aptos Narrow"/>
            <a:ea typeface="+mn-ea"/>
            <a:cs typeface="+mn-cs"/>
          </a:endParaRPr>
        </a:p>
      </xdr:txBody>
    </xdr:sp>
    <xdr:clientData/>
  </xdr:twoCellAnchor>
  <xdr:twoCellAnchor>
    <xdr:from>
      <xdr:col>14</xdr:col>
      <xdr:colOff>278553</xdr:colOff>
      <xdr:row>14</xdr:row>
      <xdr:rowOff>6110</xdr:rowOff>
    </xdr:from>
    <xdr:to>
      <xdr:col>17</xdr:col>
      <xdr:colOff>296594</xdr:colOff>
      <xdr:row>17</xdr:row>
      <xdr:rowOff>54090</xdr:rowOff>
    </xdr:to>
    <xdr:sp macro="" textlink="">
      <xdr:nvSpPr>
        <xdr:cNvPr id="68" name="TextBox 67">
          <a:extLst>
            <a:ext uri="{FF2B5EF4-FFF2-40B4-BE49-F238E27FC236}">
              <a16:creationId xmlns:a16="http://schemas.microsoft.com/office/drawing/2014/main" id="{ABDDC7F6-F949-4985-84C4-D83C2491C630}"/>
            </a:ext>
          </a:extLst>
        </xdr:cNvPr>
        <xdr:cNvSpPr txBox="1"/>
      </xdr:nvSpPr>
      <xdr:spPr>
        <a:xfrm>
          <a:off x="8792438" y="2673110"/>
          <a:ext cx="1842444" cy="619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0">
              <a:solidFill>
                <a:schemeClr val="bg1">
                  <a:alpha val="60000"/>
                </a:schemeClr>
              </a:solidFill>
              <a:latin typeface="Bahnschrift SemiBold" panose="020B0502040204020203" pitchFamily="34" charset="0"/>
            </a:rPr>
            <a:t>Top</a:t>
          </a:r>
          <a:r>
            <a:rPr lang="en-US" sz="2000" b="0" baseline="0">
              <a:solidFill>
                <a:schemeClr val="bg1">
                  <a:alpha val="60000"/>
                </a:schemeClr>
              </a:solidFill>
              <a:latin typeface="Bahnschrift SemiBold" panose="020B0502040204020203" pitchFamily="34" charset="0"/>
            </a:rPr>
            <a:t> Country</a:t>
          </a:r>
          <a:endParaRPr lang="en-US" sz="2000" b="0">
            <a:solidFill>
              <a:schemeClr val="bg1">
                <a:alpha val="60000"/>
              </a:schemeClr>
            </a:solidFill>
            <a:latin typeface="Bahnschrift SemiBold" panose="020B0502040204020203" pitchFamily="34" charset="0"/>
          </a:endParaRPr>
        </a:p>
      </xdr:txBody>
    </xdr:sp>
    <xdr:clientData/>
  </xdr:twoCellAnchor>
  <xdr:twoCellAnchor>
    <xdr:from>
      <xdr:col>15</xdr:col>
      <xdr:colOff>316930</xdr:colOff>
      <xdr:row>9</xdr:row>
      <xdr:rowOff>95810</xdr:rowOff>
    </xdr:from>
    <xdr:to>
      <xdr:col>17</xdr:col>
      <xdr:colOff>346534</xdr:colOff>
      <xdr:row>12</xdr:row>
      <xdr:rowOff>61483</xdr:rowOff>
    </xdr:to>
    <xdr:sp macro="" textlink="ANALYSIS!F29">
      <xdr:nvSpPr>
        <xdr:cNvPr id="69" name="TextBox 68">
          <a:extLst>
            <a:ext uri="{FF2B5EF4-FFF2-40B4-BE49-F238E27FC236}">
              <a16:creationId xmlns:a16="http://schemas.microsoft.com/office/drawing/2014/main" id="{CBB1FF93-0F62-4B56-9F41-8D418B5C16DA}"/>
            </a:ext>
          </a:extLst>
        </xdr:cNvPr>
        <xdr:cNvSpPr txBox="1"/>
      </xdr:nvSpPr>
      <xdr:spPr>
        <a:xfrm>
          <a:off x="9438949" y="1810310"/>
          <a:ext cx="1245873" cy="5371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01D24666-5D86-4E00-837B-7C247F325230}" type="TxLink">
            <a:rPr lang="en-US" sz="3200" b="1" i="0" u="none" strike="noStrike">
              <a:solidFill>
                <a:schemeClr val="bg1"/>
              </a:solidFill>
              <a:latin typeface="Aptos Narrow"/>
              <a:ea typeface="+mn-ea"/>
              <a:cs typeface="+mn-cs"/>
            </a:rPr>
            <a:pPr marL="0" indent="0"/>
            <a:t>Japan</a:t>
          </a:fld>
          <a:endParaRPr lang="en-US" sz="3200" b="1" i="0" u="none" strike="noStrike">
            <a:solidFill>
              <a:schemeClr val="bg1"/>
            </a:solidFill>
            <a:latin typeface="Aptos Narrow"/>
            <a:ea typeface="+mn-ea"/>
            <a:cs typeface="+mn-cs"/>
          </a:endParaRPr>
        </a:p>
      </xdr:txBody>
    </xdr:sp>
    <xdr:clientData/>
  </xdr:twoCellAnchor>
  <xdr:twoCellAnchor>
    <xdr:from>
      <xdr:col>15</xdr:col>
      <xdr:colOff>394592</xdr:colOff>
      <xdr:row>11</xdr:row>
      <xdr:rowOff>155892</xdr:rowOff>
    </xdr:from>
    <xdr:to>
      <xdr:col>18</xdr:col>
      <xdr:colOff>108435</xdr:colOff>
      <xdr:row>14</xdr:row>
      <xdr:rowOff>121565</xdr:rowOff>
    </xdr:to>
    <xdr:sp macro="" textlink="ANALYSIS!G29">
      <xdr:nvSpPr>
        <xdr:cNvPr id="70" name="TextBox 69">
          <a:extLst>
            <a:ext uri="{FF2B5EF4-FFF2-40B4-BE49-F238E27FC236}">
              <a16:creationId xmlns:a16="http://schemas.microsoft.com/office/drawing/2014/main" id="{4CD07163-33BA-435D-880D-E0018863161D}"/>
            </a:ext>
          </a:extLst>
        </xdr:cNvPr>
        <xdr:cNvSpPr txBox="1"/>
      </xdr:nvSpPr>
      <xdr:spPr>
        <a:xfrm>
          <a:off x="9516611" y="2251392"/>
          <a:ext cx="1538247" cy="5371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C60832F7-3197-4E19-826E-42ACA3E8F03D}" type="TxLink">
            <a:rPr lang="en-US" sz="2800" b="1" i="0" u="none" strike="noStrike">
              <a:solidFill>
                <a:schemeClr val="bg1"/>
              </a:solidFill>
              <a:latin typeface="Aptos Narrow"/>
              <a:ea typeface="+mn-ea"/>
              <a:cs typeface="+mn-cs"/>
            </a:rPr>
            <a:pPr marL="0" indent="0"/>
            <a:t>$32K</a:t>
          </a:fld>
          <a:endParaRPr lang="en-US" sz="2800" b="1" i="0" u="none" strike="noStrike">
            <a:solidFill>
              <a:schemeClr val="bg1"/>
            </a:solidFill>
            <a:latin typeface="Aptos Narrow"/>
            <a:ea typeface="+mn-ea"/>
            <a:cs typeface="+mn-cs"/>
          </a:endParaRPr>
        </a:p>
      </xdr:txBody>
    </xdr:sp>
    <xdr:clientData/>
  </xdr:twoCellAnchor>
  <xdr:twoCellAnchor editAs="oneCell">
    <xdr:from>
      <xdr:col>14</xdr:col>
      <xdr:colOff>133620</xdr:colOff>
      <xdr:row>10</xdr:row>
      <xdr:rowOff>38101</xdr:rowOff>
    </xdr:from>
    <xdr:to>
      <xdr:col>15</xdr:col>
      <xdr:colOff>314536</xdr:colOff>
      <xdr:row>14</xdr:row>
      <xdr:rowOff>66780</xdr:rowOff>
    </xdr:to>
    <xdr:pic>
      <xdr:nvPicPr>
        <xdr:cNvPr id="72" name="Graphic 71" descr="Earth Globe - Asia with solid fill">
          <a:extLst>
            <a:ext uri="{FF2B5EF4-FFF2-40B4-BE49-F238E27FC236}">
              <a16:creationId xmlns:a16="http://schemas.microsoft.com/office/drawing/2014/main" id="{82D518F0-120D-33D0-5708-5C21E945BFF4}"/>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8668020" y="1943101"/>
          <a:ext cx="790516" cy="790679"/>
        </a:xfrm>
        <a:prstGeom prst="rect">
          <a:avLst/>
        </a:prstGeom>
      </xdr:spPr>
    </xdr:pic>
    <xdr:clientData/>
  </xdr:twoCellAnchor>
  <xdr:twoCellAnchor>
    <xdr:from>
      <xdr:col>10</xdr:col>
      <xdr:colOff>579396</xdr:colOff>
      <xdr:row>8</xdr:row>
      <xdr:rowOff>123950</xdr:rowOff>
    </xdr:from>
    <xdr:to>
      <xdr:col>13</xdr:col>
      <xdr:colOff>403464</xdr:colOff>
      <xdr:row>11</xdr:row>
      <xdr:rowOff>89623</xdr:rowOff>
    </xdr:to>
    <xdr:sp macro="" textlink="ANALYSIS!F22">
      <xdr:nvSpPr>
        <xdr:cNvPr id="78" name="TextBox 77">
          <a:extLst>
            <a:ext uri="{FF2B5EF4-FFF2-40B4-BE49-F238E27FC236}">
              <a16:creationId xmlns:a16="http://schemas.microsoft.com/office/drawing/2014/main" id="{BF88313F-6320-46EA-9D50-F831FF6676B2}"/>
            </a:ext>
          </a:extLst>
        </xdr:cNvPr>
        <xdr:cNvSpPr txBox="1"/>
      </xdr:nvSpPr>
      <xdr:spPr>
        <a:xfrm>
          <a:off x="6675396" y="1647950"/>
          <a:ext cx="1652868" cy="5371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400" b="1" i="0" u="none" strike="noStrike">
              <a:solidFill>
                <a:schemeClr val="bg1">
                  <a:alpha val="20000"/>
                </a:schemeClr>
              </a:solidFill>
              <a:latin typeface="Aptos Narrow"/>
              <a:ea typeface="+mn-ea"/>
              <a:cs typeface="+mn-cs"/>
            </a:rPr>
            <a:t>All Time</a:t>
          </a:r>
        </a:p>
      </xdr:txBody>
    </xdr:sp>
    <xdr:clientData/>
  </xdr:twoCellAnchor>
  <xdr:twoCellAnchor editAs="oneCell">
    <xdr:from>
      <xdr:col>11</xdr:col>
      <xdr:colOff>107769</xdr:colOff>
      <xdr:row>10</xdr:row>
      <xdr:rowOff>27213</xdr:rowOff>
    </xdr:from>
    <xdr:to>
      <xdr:col>12</xdr:col>
      <xdr:colOff>243673</xdr:colOff>
      <xdr:row>14</xdr:row>
      <xdr:rowOff>9524</xdr:rowOff>
    </xdr:to>
    <xdr:pic>
      <xdr:nvPicPr>
        <xdr:cNvPr id="80" name="Graphic 79" descr="Tag with solid fill">
          <a:extLst>
            <a:ext uri="{FF2B5EF4-FFF2-40B4-BE49-F238E27FC236}">
              <a16:creationId xmlns:a16="http://schemas.microsoft.com/office/drawing/2014/main" id="{D047CDA0-70EE-28AA-BCBD-1921BCAF4B8F}"/>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6813369" y="1932213"/>
          <a:ext cx="745504" cy="744311"/>
        </a:xfrm>
        <a:prstGeom prst="rect">
          <a:avLst/>
        </a:prstGeom>
      </xdr:spPr>
    </xdr:pic>
    <xdr:clientData/>
  </xdr:twoCellAnchor>
  <xdr:twoCellAnchor editAs="oneCell">
    <xdr:from>
      <xdr:col>3</xdr:col>
      <xdr:colOff>369075</xdr:colOff>
      <xdr:row>18</xdr:row>
      <xdr:rowOff>1843</xdr:rowOff>
    </xdr:from>
    <xdr:to>
      <xdr:col>4</xdr:col>
      <xdr:colOff>416700</xdr:colOff>
      <xdr:row>21</xdr:row>
      <xdr:rowOff>87568</xdr:rowOff>
    </xdr:to>
    <xdr:pic>
      <xdr:nvPicPr>
        <xdr:cNvPr id="82" name="Graphic 81" descr="Calculator with solid fill">
          <a:hlinkClick xmlns:r="http://schemas.openxmlformats.org/officeDocument/2006/relationships" r:id="rId15"/>
          <a:extLst>
            <a:ext uri="{FF2B5EF4-FFF2-40B4-BE49-F238E27FC236}">
              <a16:creationId xmlns:a16="http://schemas.microsoft.com/office/drawing/2014/main" id="{43578827-E874-2329-E79E-C918B0730E35}"/>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2197875" y="3430843"/>
          <a:ext cx="657225" cy="657225"/>
        </a:xfrm>
        <a:prstGeom prst="rect">
          <a:avLst/>
        </a:prstGeom>
      </xdr:spPr>
    </xdr:pic>
    <xdr:clientData/>
  </xdr:twoCellAnchor>
  <xdr:twoCellAnchor editAs="oneCell">
    <xdr:from>
      <xdr:col>3</xdr:col>
      <xdr:colOff>369075</xdr:colOff>
      <xdr:row>10</xdr:row>
      <xdr:rowOff>88527</xdr:rowOff>
    </xdr:from>
    <xdr:to>
      <xdr:col>4</xdr:col>
      <xdr:colOff>404775</xdr:colOff>
      <xdr:row>13</xdr:row>
      <xdr:rowOff>162327</xdr:rowOff>
    </xdr:to>
    <xdr:pic>
      <xdr:nvPicPr>
        <xdr:cNvPr id="84" name="Graphic 83" descr="Clipboard Checked with solid fill">
          <a:hlinkClick xmlns:r="http://schemas.openxmlformats.org/officeDocument/2006/relationships" r:id="rId18"/>
          <a:extLst>
            <a:ext uri="{FF2B5EF4-FFF2-40B4-BE49-F238E27FC236}">
              <a16:creationId xmlns:a16="http://schemas.microsoft.com/office/drawing/2014/main" id="{D65B511D-3CFA-5FC4-F9E7-814370E718AC}"/>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2197875" y="1993527"/>
          <a:ext cx="645300" cy="645300"/>
        </a:xfrm>
        <a:prstGeom prst="rect">
          <a:avLst/>
        </a:prstGeom>
      </xdr:spPr>
    </xdr:pic>
    <xdr:clientData/>
  </xdr:twoCellAnchor>
  <xdr:twoCellAnchor editAs="oneCell">
    <xdr:from>
      <xdr:col>3</xdr:col>
      <xdr:colOff>426225</xdr:colOff>
      <xdr:row>25</xdr:row>
      <xdr:rowOff>117584</xdr:rowOff>
    </xdr:from>
    <xdr:to>
      <xdr:col>4</xdr:col>
      <xdr:colOff>402450</xdr:colOff>
      <xdr:row>28</xdr:row>
      <xdr:rowOff>131909</xdr:rowOff>
    </xdr:to>
    <xdr:pic>
      <xdr:nvPicPr>
        <xdr:cNvPr id="86" name="Graphic 85" descr="Open folder with solid fill">
          <a:hlinkClick xmlns:r="http://schemas.openxmlformats.org/officeDocument/2006/relationships" r:id="rId21"/>
          <a:extLst>
            <a:ext uri="{FF2B5EF4-FFF2-40B4-BE49-F238E27FC236}">
              <a16:creationId xmlns:a16="http://schemas.microsoft.com/office/drawing/2014/main" id="{8B7BC861-5326-E3AC-8272-21F254946C7B}"/>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2255025" y="4880084"/>
          <a:ext cx="585825" cy="585825"/>
        </a:xfrm>
        <a:prstGeom prst="rect">
          <a:avLst/>
        </a:prstGeom>
      </xdr:spPr>
    </xdr:pic>
    <xdr:clientData/>
  </xdr:twoCellAnchor>
  <xdr:twoCellAnchor editAs="oneCell">
    <xdr:from>
      <xdr:col>3</xdr:col>
      <xdr:colOff>369075</xdr:colOff>
      <xdr:row>3</xdr:row>
      <xdr:rowOff>28575</xdr:rowOff>
    </xdr:from>
    <xdr:to>
      <xdr:col>4</xdr:col>
      <xdr:colOff>360911</xdr:colOff>
      <xdr:row>6</xdr:row>
      <xdr:rowOff>58511</xdr:rowOff>
    </xdr:to>
    <xdr:pic>
      <xdr:nvPicPr>
        <xdr:cNvPr id="90" name="Graphic 89" descr="Store with solid fill">
          <a:extLst>
            <a:ext uri="{FF2B5EF4-FFF2-40B4-BE49-F238E27FC236}">
              <a16:creationId xmlns:a16="http://schemas.microsoft.com/office/drawing/2014/main" id="{BAE03B90-7C78-5CE6-FFDE-F86456BA79CF}"/>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2197875" y="600075"/>
          <a:ext cx="601436" cy="601436"/>
        </a:xfrm>
        <a:prstGeom prst="rect">
          <a:avLst/>
        </a:prstGeom>
      </xdr:spPr>
    </xdr:pic>
    <xdr:clientData/>
  </xdr:twoCellAnchor>
  <xdr:twoCellAnchor editAs="oneCell">
    <xdr:from>
      <xdr:col>3</xdr:col>
      <xdr:colOff>426225</xdr:colOff>
      <xdr:row>32</xdr:row>
      <xdr:rowOff>161925</xdr:rowOff>
    </xdr:from>
    <xdr:to>
      <xdr:col>4</xdr:col>
      <xdr:colOff>369756</xdr:colOff>
      <xdr:row>35</xdr:row>
      <xdr:rowOff>143556</xdr:rowOff>
    </xdr:to>
    <xdr:pic macro="[0]!MACROFILTER">
      <xdr:nvPicPr>
        <xdr:cNvPr id="92" name="Picture 91">
          <a:extLst>
            <a:ext uri="{FF2B5EF4-FFF2-40B4-BE49-F238E27FC236}">
              <a16:creationId xmlns:a16="http://schemas.microsoft.com/office/drawing/2014/main" id="{CBFD5DA6-AF51-79A0-5565-4C9460C9255A}"/>
            </a:ext>
          </a:extLst>
        </xdr:cNvPr>
        <xdr:cNvPicPr>
          <a:picLocks noChangeAspect="1"/>
        </xdr:cNvPicPr>
      </xdr:nvPicPr>
      <xdr:blipFill>
        <a:blip xmlns:r="http://schemas.openxmlformats.org/officeDocument/2006/relationships" r:embed="rId26" cstate="print">
          <a:duotone>
            <a:schemeClr val="accent2">
              <a:shade val="45000"/>
              <a:satMod val="135000"/>
            </a:schemeClr>
            <a:prstClr val="white"/>
          </a:duotone>
          <a:alphaModFix amt="70000"/>
          <a:extLst>
            <a:ext uri="{28A0092B-C50C-407E-A947-70E740481C1C}">
              <a14:useLocalDpi xmlns:a14="http://schemas.microsoft.com/office/drawing/2010/main" val="0"/>
            </a:ext>
          </a:extLst>
        </a:blip>
        <a:stretch>
          <a:fillRect/>
        </a:stretch>
      </xdr:blipFill>
      <xdr:spPr>
        <a:xfrm>
          <a:off x="2255025" y="6257925"/>
          <a:ext cx="553131" cy="553131"/>
        </a:xfrm>
        <a:prstGeom prst="rect">
          <a:avLst/>
        </a:prstGeom>
      </xdr:spPr>
    </xdr:pic>
    <xdr:clientData/>
  </xdr:twoCellAnchor>
  <xdr:twoCellAnchor>
    <xdr:from>
      <xdr:col>15</xdr:col>
      <xdr:colOff>113270</xdr:colOff>
      <xdr:row>17</xdr:row>
      <xdr:rowOff>173904</xdr:rowOff>
    </xdr:from>
    <xdr:to>
      <xdr:col>17</xdr:col>
      <xdr:colOff>146187</xdr:colOff>
      <xdr:row>22</xdr:row>
      <xdr:rowOff>84083</xdr:rowOff>
    </xdr:to>
    <xdr:sp macro="" textlink="ANALYSIS!I36">
      <xdr:nvSpPr>
        <xdr:cNvPr id="98" name="TextBox 97">
          <a:extLst>
            <a:ext uri="{FF2B5EF4-FFF2-40B4-BE49-F238E27FC236}">
              <a16:creationId xmlns:a16="http://schemas.microsoft.com/office/drawing/2014/main" id="{39AB520A-0515-448A-816E-2DDA11B78924}"/>
            </a:ext>
          </a:extLst>
        </xdr:cNvPr>
        <xdr:cNvSpPr txBox="1"/>
      </xdr:nvSpPr>
      <xdr:spPr>
        <a:xfrm>
          <a:off x="9276977" y="3412404"/>
          <a:ext cx="1254744" cy="8626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806ABD40-C258-4E11-8E58-BFDFD76CAEC2}" type="TxLink">
            <a:rPr lang="en-US" sz="4000" b="1" i="0" u="none" strike="noStrike">
              <a:solidFill>
                <a:schemeClr val="bg1"/>
              </a:solidFill>
              <a:latin typeface="Aptos Narrow"/>
              <a:ea typeface="+mn-ea"/>
              <a:cs typeface="+mn-cs"/>
            </a:rPr>
            <a:pPr marL="0" indent="0"/>
            <a:t>July</a:t>
          </a:fld>
          <a:endParaRPr lang="en-US" sz="4000" b="1" i="0" u="none" strike="noStrike">
            <a:solidFill>
              <a:schemeClr val="bg1"/>
            </a:solidFill>
            <a:latin typeface="Aptos Narrow"/>
            <a:ea typeface="+mn-ea"/>
            <a:cs typeface="+mn-cs"/>
          </a:endParaRPr>
        </a:p>
      </xdr:txBody>
    </xdr:sp>
    <xdr:clientData/>
  </xdr:twoCellAnchor>
  <xdr:twoCellAnchor editAs="oneCell">
    <xdr:from>
      <xdr:col>13</xdr:col>
      <xdr:colOff>480520</xdr:colOff>
      <xdr:row>17</xdr:row>
      <xdr:rowOff>125795</xdr:rowOff>
    </xdr:from>
    <xdr:to>
      <xdr:col>15</xdr:col>
      <xdr:colOff>52551</xdr:colOff>
      <xdr:row>21</xdr:row>
      <xdr:rowOff>157654</xdr:rowOff>
    </xdr:to>
    <xdr:pic>
      <xdr:nvPicPr>
        <xdr:cNvPr id="101" name="Graphic 100" descr="Bar chart with solid fill">
          <a:extLst>
            <a:ext uri="{FF2B5EF4-FFF2-40B4-BE49-F238E27FC236}">
              <a16:creationId xmlns:a16="http://schemas.microsoft.com/office/drawing/2014/main" id="{53620180-3530-8F42-E357-6C90D38ED24C}"/>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422399" y="3364295"/>
          <a:ext cx="793859" cy="793859"/>
        </a:xfrm>
        <a:prstGeom prst="rect">
          <a:avLst/>
        </a:prstGeom>
      </xdr:spPr>
    </xdr:pic>
    <xdr:clientData/>
  </xdr:twoCellAnchor>
  <xdr:twoCellAnchor>
    <xdr:from>
      <xdr:col>13</xdr:col>
      <xdr:colOff>310385</xdr:colOff>
      <xdr:row>18</xdr:row>
      <xdr:rowOff>129369</xdr:rowOff>
    </xdr:from>
    <xdr:to>
      <xdr:col>16</xdr:col>
      <xdr:colOff>22763</xdr:colOff>
      <xdr:row>21</xdr:row>
      <xdr:rowOff>95042</xdr:rowOff>
    </xdr:to>
    <xdr:sp macro="" textlink="ANALYSIS!J36">
      <xdr:nvSpPr>
        <xdr:cNvPr id="99" name="TextBox 98">
          <a:extLst>
            <a:ext uri="{FF2B5EF4-FFF2-40B4-BE49-F238E27FC236}">
              <a16:creationId xmlns:a16="http://schemas.microsoft.com/office/drawing/2014/main" id="{1A533C7D-7329-4F6C-B05F-D5B26BB3F37C}"/>
            </a:ext>
          </a:extLst>
        </xdr:cNvPr>
        <xdr:cNvSpPr txBox="1"/>
      </xdr:nvSpPr>
      <xdr:spPr>
        <a:xfrm>
          <a:off x="8252264" y="3558369"/>
          <a:ext cx="1545120" cy="5371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2F4AA806-AFD6-464D-A594-DD8F45DBCECE}" type="TxLink">
            <a:rPr lang="en-US" sz="2400" b="1" i="0" u="none" strike="noStrike">
              <a:solidFill>
                <a:schemeClr val="bg1"/>
              </a:solidFill>
              <a:latin typeface="Aptos Narrow"/>
              <a:ea typeface="+mn-ea"/>
              <a:cs typeface="+mn-cs"/>
            </a:rPr>
            <a:pPr marL="0" indent="0"/>
            <a:t>$32.1K</a:t>
          </a:fld>
          <a:endParaRPr lang="en-US" sz="2400" b="1" i="0" u="none" strike="noStrike">
            <a:solidFill>
              <a:schemeClr val="bg1"/>
            </a:solidFill>
            <a:latin typeface="Aptos Narrow"/>
            <a:ea typeface="+mn-ea"/>
            <a:cs typeface="+mn-cs"/>
          </a:endParaRPr>
        </a:p>
      </xdr:txBody>
    </xdr:sp>
    <xdr:clientData/>
  </xdr:twoCellAnchor>
  <xdr:twoCellAnchor>
    <xdr:from>
      <xdr:col>5</xdr:col>
      <xdr:colOff>446046</xdr:colOff>
      <xdr:row>8</xdr:row>
      <xdr:rowOff>95375</xdr:rowOff>
    </xdr:from>
    <xdr:to>
      <xdr:col>8</xdr:col>
      <xdr:colOff>270114</xdr:colOff>
      <xdr:row>11</xdr:row>
      <xdr:rowOff>61048</xdr:rowOff>
    </xdr:to>
    <xdr:sp macro="" textlink="ANALYSIS!F22">
      <xdr:nvSpPr>
        <xdr:cNvPr id="2" name="TextBox 1">
          <a:extLst>
            <a:ext uri="{FF2B5EF4-FFF2-40B4-BE49-F238E27FC236}">
              <a16:creationId xmlns:a16="http://schemas.microsoft.com/office/drawing/2014/main" id="{BE1A86FB-A393-45E2-AB2B-3BCA178770DF}"/>
            </a:ext>
          </a:extLst>
        </xdr:cNvPr>
        <xdr:cNvSpPr txBox="1"/>
      </xdr:nvSpPr>
      <xdr:spPr>
        <a:xfrm>
          <a:off x="3494046" y="1619375"/>
          <a:ext cx="1652868" cy="5371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400" b="1" i="0" u="none" strike="noStrike">
              <a:solidFill>
                <a:schemeClr val="bg1">
                  <a:alpha val="20000"/>
                </a:schemeClr>
              </a:solidFill>
              <a:latin typeface="Aptos Narrow"/>
              <a:ea typeface="+mn-ea"/>
              <a:cs typeface="+mn-cs"/>
            </a:rPr>
            <a:t>Selected</a:t>
          </a:r>
          <a:r>
            <a:rPr lang="en-US" sz="1400" b="1" i="0" u="none" strike="noStrike" baseline="0">
              <a:solidFill>
                <a:schemeClr val="bg1">
                  <a:alpha val="20000"/>
                </a:schemeClr>
              </a:solidFill>
              <a:latin typeface="Aptos Narrow"/>
              <a:ea typeface="+mn-ea"/>
              <a:cs typeface="+mn-cs"/>
            </a:rPr>
            <a:t> Period</a:t>
          </a:r>
          <a:endParaRPr lang="en-US" sz="1400" b="1" i="0" u="none" strike="noStrike">
            <a:solidFill>
              <a:schemeClr val="bg1">
                <a:alpha val="20000"/>
              </a:schemeClr>
            </a:solidFill>
            <a:latin typeface="Aptos Narrow"/>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0</xdr:colOff>
      <xdr:row>2</xdr:row>
      <xdr:rowOff>0</xdr:rowOff>
    </xdr:from>
    <xdr:to>
      <xdr:col>3</xdr:col>
      <xdr:colOff>919443</xdr:colOff>
      <xdr:row>36</xdr:row>
      <xdr:rowOff>64477</xdr:rowOff>
    </xdr:to>
    <xdr:sp macro="" textlink="">
      <xdr:nvSpPr>
        <xdr:cNvPr id="26" name="Rectangle: Rounded Corners 25">
          <a:extLst>
            <a:ext uri="{FF2B5EF4-FFF2-40B4-BE49-F238E27FC236}">
              <a16:creationId xmlns:a16="http://schemas.microsoft.com/office/drawing/2014/main" id="{08AB8527-F370-4524-95F8-DC4FF220F6B3}"/>
            </a:ext>
          </a:extLst>
        </xdr:cNvPr>
        <xdr:cNvSpPr/>
      </xdr:nvSpPr>
      <xdr:spPr>
        <a:xfrm>
          <a:off x="2498912" y="381000"/>
          <a:ext cx="919443" cy="6541477"/>
        </a:xfrm>
        <a:prstGeom prst="roundRect">
          <a:avLst>
            <a:gd name="adj" fmla="val 7747"/>
          </a:avLst>
        </a:prstGeom>
        <a:solidFill>
          <a:srgbClr val="212528"/>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xdr:col>
      <xdr:colOff>159525</xdr:colOff>
      <xdr:row>17</xdr:row>
      <xdr:rowOff>119073</xdr:rowOff>
    </xdr:from>
    <xdr:to>
      <xdr:col>3</xdr:col>
      <xdr:colOff>812268</xdr:colOff>
      <xdr:row>21</xdr:row>
      <xdr:rowOff>14298</xdr:rowOff>
    </xdr:to>
    <xdr:pic>
      <xdr:nvPicPr>
        <xdr:cNvPr id="27" name="Graphic 26" descr="Calculator with solid fill">
          <a:hlinkClick xmlns:r="http://schemas.openxmlformats.org/officeDocument/2006/relationships" r:id="rId1"/>
          <a:extLst>
            <a:ext uri="{FF2B5EF4-FFF2-40B4-BE49-F238E27FC236}">
              <a16:creationId xmlns:a16="http://schemas.microsoft.com/office/drawing/2014/main" id="{A1E52F11-04C5-4D46-8FA3-5CACA23C69C6}"/>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2658437" y="3357573"/>
          <a:ext cx="652743" cy="657225"/>
        </a:xfrm>
        <a:prstGeom prst="rect">
          <a:avLst/>
        </a:prstGeom>
      </xdr:spPr>
    </xdr:pic>
    <xdr:clientData/>
  </xdr:twoCellAnchor>
  <xdr:twoCellAnchor editAs="oneCell">
    <xdr:from>
      <xdr:col>3</xdr:col>
      <xdr:colOff>159525</xdr:colOff>
      <xdr:row>10</xdr:row>
      <xdr:rowOff>15257</xdr:rowOff>
    </xdr:from>
    <xdr:to>
      <xdr:col>3</xdr:col>
      <xdr:colOff>800343</xdr:colOff>
      <xdr:row>13</xdr:row>
      <xdr:rowOff>89057</xdr:rowOff>
    </xdr:to>
    <xdr:pic>
      <xdr:nvPicPr>
        <xdr:cNvPr id="28" name="Graphic 27" descr="Clipboard Checked with solid fill">
          <a:hlinkClick xmlns:r="http://schemas.openxmlformats.org/officeDocument/2006/relationships" r:id="rId4"/>
          <a:extLst>
            <a:ext uri="{FF2B5EF4-FFF2-40B4-BE49-F238E27FC236}">
              <a16:creationId xmlns:a16="http://schemas.microsoft.com/office/drawing/2014/main" id="{17A14328-633E-4268-B9F3-5631048A68B5}"/>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658437" y="1920257"/>
          <a:ext cx="640818" cy="645300"/>
        </a:xfrm>
        <a:prstGeom prst="rect">
          <a:avLst/>
        </a:prstGeom>
      </xdr:spPr>
    </xdr:pic>
    <xdr:clientData/>
  </xdr:twoCellAnchor>
  <xdr:twoCellAnchor editAs="oneCell">
    <xdr:from>
      <xdr:col>3</xdr:col>
      <xdr:colOff>216675</xdr:colOff>
      <xdr:row>25</xdr:row>
      <xdr:rowOff>44314</xdr:rowOff>
    </xdr:from>
    <xdr:to>
      <xdr:col>3</xdr:col>
      <xdr:colOff>798018</xdr:colOff>
      <xdr:row>28</xdr:row>
      <xdr:rowOff>58639</xdr:rowOff>
    </xdr:to>
    <xdr:pic>
      <xdr:nvPicPr>
        <xdr:cNvPr id="29" name="Graphic 28" descr="Open folder with solid fill">
          <a:hlinkClick xmlns:r="http://schemas.openxmlformats.org/officeDocument/2006/relationships" r:id="rId7"/>
          <a:extLst>
            <a:ext uri="{FF2B5EF4-FFF2-40B4-BE49-F238E27FC236}">
              <a16:creationId xmlns:a16="http://schemas.microsoft.com/office/drawing/2014/main" id="{B9F44CD6-EF33-4486-BDAF-3396E6A829C2}"/>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2715587" y="4806814"/>
          <a:ext cx="581343" cy="585825"/>
        </a:xfrm>
        <a:prstGeom prst="rect">
          <a:avLst/>
        </a:prstGeom>
      </xdr:spPr>
    </xdr:pic>
    <xdr:clientData/>
  </xdr:twoCellAnchor>
  <xdr:twoCellAnchor editAs="oneCell">
    <xdr:from>
      <xdr:col>3</xdr:col>
      <xdr:colOff>159525</xdr:colOff>
      <xdr:row>2</xdr:row>
      <xdr:rowOff>145805</xdr:rowOff>
    </xdr:from>
    <xdr:to>
      <xdr:col>3</xdr:col>
      <xdr:colOff>756479</xdr:colOff>
      <xdr:row>5</xdr:row>
      <xdr:rowOff>175741</xdr:rowOff>
    </xdr:to>
    <xdr:pic>
      <xdr:nvPicPr>
        <xdr:cNvPr id="30" name="Graphic 29" descr="Store with solid fill">
          <a:extLst>
            <a:ext uri="{FF2B5EF4-FFF2-40B4-BE49-F238E27FC236}">
              <a16:creationId xmlns:a16="http://schemas.microsoft.com/office/drawing/2014/main" id="{E2360FE5-8EB5-4418-B130-E1F352306BBA}"/>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2658437" y="526805"/>
          <a:ext cx="596954" cy="601436"/>
        </a:xfrm>
        <a:prstGeom prst="rect">
          <a:avLst/>
        </a:prstGeom>
      </xdr:spPr>
    </xdr:pic>
    <xdr:clientData/>
  </xdr:twoCellAnchor>
  <xdr:twoCellAnchor editAs="oneCell">
    <xdr:from>
      <xdr:col>3</xdr:col>
      <xdr:colOff>216675</xdr:colOff>
      <xdr:row>32</xdr:row>
      <xdr:rowOff>88655</xdr:rowOff>
    </xdr:from>
    <xdr:to>
      <xdr:col>3</xdr:col>
      <xdr:colOff>765324</xdr:colOff>
      <xdr:row>35</xdr:row>
      <xdr:rowOff>70286</xdr:rowOff>
    </xdr:to>
    <xdr:pic macro="[0]!MACROFILTER">
      <xdr:nvPicPr>
        <xdr:cNvPr id="31" name="Picture 30">
          <a:extLst>
            <a:ext uri="{FF2B5EF4-FFF2-40B4-BE49-F238E27FC236}">
              <a16:creationId xmlns:a16="http://schemas.microsoft.com/office/drawing/2014/main" id="{441BB002-0019-46CF-96BB-B65EB039B757}"/>
            </a:ext>
          </a:extLst>
        </xdr:cNvPr>
        <xdr:cNvPicPr>
          <a:picLocks noChangeAspect="1"/>
        </xdr:cNvPicPr>
      </xdr:nvPicPr>
      <xdr:blipFill>
        <a:blip xmlns:r="http://schemas.openxmlformats.org/officeDocument/2006/relationships" r:embed="rId12" cstate="print">
          <a:duotone>
            <a:schemeClr val="accent2">
              <a:shade val="45000"/>
              <a:satMod val="135000"/>
            </a:schemeClr>
            <a:prstClr val="white"/>
          </a:duotone>
          <a:alphaModFix amt="70000"/>
          <a:extLst>
            <a:ext uri="{28A0092B-C50C-407E-A947-70E740481C1C}">
              <a14:useLocalDpi xmlns:a14="http://schemas.microsoft.com/office/drawing/2010/main" val="0"/>
            </a:ext>
          </a:extLst>
        </a:blip>
        <a:stretch>
          <a:fillRect/>
        </a:stretch>
      </xdr:blipFill>
      <xdr:spPr>
        <a:xfrm>
          <a:off x="2715587" y="6184655"/>
          <a:ext cx="548649" cy="55313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13</xdr:col>
      <xdr:colOff>0</xdr:colOff>
      <xdr:row>2</xdr:row>
      <xdr:rowOff>0</xdr:rowOff>
    </xdr:from>
    <xdr:to>
      <xdr:col>13</xdr:col>
      <xdr:colOff>919443</xdr:colOff>
      <xdr:row>36</xdr:row>
      <xdr:rowOff>64477</xdr:rowOff>
    </xdr:to>
    <xdr:sp macro="" textlink="">
      <xdr:nvSpPr>
        <xdr:cNvPr id="3" name="Rectangle: Rounded Corners 2">
          <a:extLst>
            <a:ext uri="{FF2B5EF4-FFF2-40B4-BE49-F238E27FC236}">
              <a16:creationId xmlns:a16="http://schemas.microsoft.com/office/drawing/2014/main" id="{50F519EF-1C8C-4BEB-883F-3F61B89F5D6F}"/>
            </a:ext>
          </a:extLst>
        </xdr:cNvPr>
        <xdr:cNvSpPr/>
      </xdr:nvSpPr>
      <xdr:spPr>
        <a:xfrm>
          <a:off x="11229975" y="381000"/>
          <a:ext cx="919443" cy="6541477"/>
        </a:xfrm>
        <a:prstGeom prst="roundRect">
          <a:avLst>
            <a:gd name="adj" fmla="val 7747"/>
          </a:avLst>
        </a:prstGeom>
        <a:solidFill>
          <a:srgbClr val="212528"/>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13</xdr:col>
      <xdr:colOff>159525</xdr:colOff>
      <xdr:row>17</xdr:row>
      <xdr:rowOff>119073</xdr:rowOff>
    </xdr:from>
    <xdr:to>
      <xdr:col>13</xdr:col>
      <xdr:colOff>812268</xdr:colOff>
      <xdr:row>21</xdr:row>
      <xdr:rowOff>14298</xdr:rowOff>
    </xdr:to>
    <xdr:pic>
      <xdr:nvPicPr>
        <xdr:cNvPr id="4" name="Graphic 3" descr="Calculator with solid fill">
          <a:hlinkClick xmlns:r="http://schemas.openxmlformats.org/officeDocument/2006/relationships" r:id="rId1"/>
          <a:extLst>
            <a:ext uri="{FF2B5EF4-FFF2-40B4-BE49-F238E27FC236}">
              <a16:creationId xmlns:a16="http://schemas.microsoft.com/office/drawing/2014/main" id="{CB87C87C-1455-473F-B6DF-DCE0931B6311}"/>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1389500" y="3357573"/>
          <a:ext cx="652743" cy="657225"/>
        </a:xfrm>
        <a:prstGeom prst="rect">
          <a:avLst/>
        </a:prstGeom>
      </xdr:spPr>
    </xdr:pic>
    <xdr:clientData/>
  </xdr:twoCellAnchor>
  <xdr:twoCellAnchor editAs="oneCell">
    <xdr:from>
      <xdr:col>13</xdr:col>
      <xdr:colOff>159525</xdr:colOff>
      <xdr:row>10</xdr:row>
      <xdr:rowOff>15257</xdr:rowOff>
    </xdr:from>
    <xdr:to>
      <xdr:col>13</xdr:col>
      <xdr:colOff>800343</xdr:colOff>
      <xdr:row>13</xdr:row>
      <xdr:rowOff>89057</xdr:rowOff>
    </xdr:to>
    <xdr:pic>
      <xdr:nvPicPr>
        <xdr:cNvPr id="5" name="Graphic 4" descr="Clipboard Checked with solid fill">
          <a:hlinkClick xmlns:r="http://schemas.openxmlformats.org/officeDocument/2006/relationships" r:id="rId4"/>
          <a:extLst>
            <a:ext uri="{FF2B5EF4-FFF2-40B4-BE49-F238E27FC236}">
              <a16:creationId xmlns:a16="http://schemas.microsoft.com/office/drawing/2014/main" id="{7FBAB3D1-4355-4F83-9D12-C05B34A6E875}"/>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1389500" y="1920257"/>
          <a:ext cx="640818" cy="645300"/>
        </a:xfrm>
        <a:prstGeom prst="rect">
          <a:avLst/>
        </a:prstGeom>
      </xdr:spPr>
    </xdr:pic>
    <xdr:clientData/>
  </xdr:twoCellAnchor>
  <xdr:twoCellAnchor editAs="oneCell">
    <xdr:from>
      <xdr:col>13</xdr:col>
      <xdr:colOff>216675</xdr:colOff>
      <xdr:row>25</xdr:row>
      <xdr:rowOff>44314</xdr:rowOff>
    </xdr:from>
    <xdr:to>
      <xdr:col>13</xdr:col>
      <xdr:colOff>798018</xdr:colOff>
      <xdr:row>28</xdr:row>
      <xdr:rowOff>58639</xdr:rowOff>
    </xdr:to>
    <xdr:pic>
      <xdr:nvPicPr>
        <xdr:cNvPr id="6" name="Graphic 5" descr="Open folder with solid fill">
          <a:hlinkClick xmlns:r="http://schemas.openxmlformats.org/officeDocument/2006/relationships" r:id="rId7"/>
          <a:extLst>
            <a:ext uri="{FF2B5EF4-FFF2-40B4-BE49-F238E27FC236}">
              <a16:creationId xmlns:a16="http://schemas.microsoft.com/office/drawing/2014/main" id="{5B809903-1A8D-43DE-8C67-38144C8909A8}"/>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1446650" y="4806814"/>
          <a:ext cx="581343" cy="585825"/>
        </a:xfrm>
        <a:prstGeom prst="rect">
          <a:avLst/>
        </a:prstGeom>
      </xdr:spPr>
    </xdr:pic>
    <xdr:clientData/>
  </xdr:twoCellAnchor>
  <xdr:twoCellAnchor editAs="oneCell">
    <xdr:from>
      <xdr:col>13</xdr:col>
      <xdr:colOff>159525</xdr:colOff>
      <xdr:row>2</xdr:row>
      <xdr:rowOff>145805</xdr:rowOff>
    </xdr:from>
    <xdr:to>
      <xdr:col>13</xdr:col>
      <xdr:colOff>756479</xdr:colOff>
      <xdr:row>5</xdr:row>
      <xdr:rowOff>175741</xdr:rowOff>
    </xdr:to>
    <xdr:pic>
      <xdr:nvPicPr>
        <xdr:cNvPr id="7" name="Graphic 6" descr="Store with solid fill">
          <a:extLst>
            <a:ext uri="{FF2B5EF4-FFF2-40B4-BE49-F238E27FC236}">
              <a16:creationId xmlns:a16="http://schemas.microsoft.com/office/drawing/2014/main" id="{D20A10BF-665E-40FF-A2E5-18395140EAA1}"/>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1389500" y="526805"/>
          <a:ext cx="596954" cy="601436"/>
        </a:xfrm>
        <a:prstGeom prst="rect">
          <a:avLst/>
        </a:prstGeom>
      </xdr:spPr>
    </xdr:pic>
    <xdr:clientData/>
  </xdr:twoCellAnchor>
  <xdr:twoCellAnchor editAs="oneCell">
    <xdr:from>
      <xdr:col>13</xdr:col>
      <xdr:colOff>216675</xdr:colOff>
      <xdr:row>32</xdr:row>
      <xdr:rowOff>88655</xdr:rowOff>
    </xdr:from>
    <xdr:to>
      <xdr:col>13</xdr:col>
      <xdr:colOff>765324</xdr:colOff>
      <xdr:row>35</xdr:row>
      <xdr:rowOff>70286</xdr:rowOff>
    </xdr:to>
    <xdr:pic macro="[0]!MACROFILTER">
      <xdr:nvPicPr>
        <xdr:cNvPr id="8" name="Picture 7">
          <a:extLst>
            <a:ext uri="{FF2B5EF4-FFF2-40B4-BE49-F238E27FC236}">
              <a16:creationId xmlns:a16="http://schemas.microsoft.com/office/drawing/2014/main" id="{C55A8AB6-674C-4940-9456-423057396970}"/>
            </a:ext>
          </a:extLst>
        </xdr:cNvPr>
        <xdr:cNvPicPr>
          <a:picLocks noChangeAspect="1"/>
        </xdr:cNvPicPr>
      </xdr:nvPicPr>
      <xdr:blipFill>
        <a:blip xmlns:r="http://schemas.openxmlformats.org/officeDocument/2006/relationships" r:embed="rId12" cstate="print">
          <a:duotone>
            <a:schemeClr val="accent2">
              <a:shade val="45000"/>
              <a:satMod val="135000"/>
            </a:schemeClr>
            <a:prstClr val="white"/>
          </a:duotone>
          <a:alphaModFix amt="70000"/>
          <a:extLst>
            <a:ext uri="{28A0092B-C50C-407E-A947-70E740481C1C}">
              <a14:useLocalDpi xmlns:a14="http://schemas.microsoft.com/office/drawing/2010/main" val="0"/>
            </a:ext>
          </a:extLst>
        </a:blip>
        <a:stretch>
          <a:fillRect/>
        </a:stretch>
      </xdr:blipFill>
      <xdr:spPr>
        <a:xfrm>
          <a:off x="11446650" y="6184655"/>
          <a:ext cx="548649" cy="553131"/>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tias Salinas" refreshedDate="45883.198626967591" createdVersion="8" refreshedVersion="8" minRefreshableVersion="3" recordCount="353" xr:uid="{AD5A51F2-D3C5-47FF-ABB2-40AC98233C78}">
  <cacheSource type="worksheet">
    <worksheetSource name="sneakers_streetwear_sales_data"/>
  </cacheSource>
  <cacheFields count="14">
    <cacheField name="Date" numFmtId="14">
      <sharedItems containsSemiMixedTypes="0" containsNonDate="0" containsDate="1" containsString="0" minDate="2022-01-01T00:00:00" maxDate="2022-09-01T00:00:00" count="191">
        <d v="2022-06-06T00:00:00"/>
        <d v="2022-04-07T00:00:00"/>
        <d v="2022-07-27T00:00:00"/>
        <d v="2022-01-14T00:00:00"/>
        <d v="2022-07-17T00:00:00"/>
        <d v="2022-01-08T00:00:00"/>
        <d v="2022-08-24T00:00:00"/>
        <d v="2022-03-26T00:00:00"/>
        <d v="2022-06-16T00:00:00"/>
        <d v="2022-08-03T00:00:00"/>
        <d v="2022-07-10T00:00:00"/>
        <d v="2022-02-27T00:00:00"/>
        <d v="2022-04-18T00:00:00"/>
        <d v="2022-07-23T00:00:00"/>
        <d v="2022-05-05T00:00:00"/>
        <d v="2022-01-02T00:00:00"/>
        <d v="2022-08-18T00:00:00"/>
        <d v="2022-03-21T00:00:00"/>
        <d v="2022-03-08T00:00:00"/>
        <d v="2022-07-02T00:00:00"/>
        <d v="2022-02-15T00:00:00"/>
        <d v="2022-02-03T00:00:00"/>
        <d v="2022-04-10T00:00:00"/>
        <d v="2022-05-07T00:00:00"/>
        <d v="2022-02-13T00:00:00"/>
        <d v="2022-03-04T00:00:00"/>
        <d v="2022-01-15T00:00:00"/>
        <d v="2022-07-01T00:00:00"/>
        <d v="2022-08-02T00:00:00"/>
        <d v="2022-06-01T00:00:00"/>
        <d v="2022-03-03T00:00:00"/>
        <d v="2022-06-03T00:00:00"/>
        <d v="2022-03-14T00:00:00"/>
        <d v="2022-04-26T00:00:00"/>
        <d v="2022-06-15T00:00:00"/>
        <d v="2022-06-30T00:00:00"/>
        <d v="2022-02-25T00:00:00"/>
        <d v="2022-05-06T00:00:00"/>
        <d v="2022-06-05T00:00:00"/>
        <d v="2022-04-04T00:00:00"/>
        <d v="2022-07-13T00:00:00"/>
        <d v="2022-02-28T00:00:00"/>
        <d v="2022-06-13T00:00:00"/>
        <d v="2022-04-15T00:00:00"/>
        <d v="2022-05-28T00:00:00"/>
        <d v="2022-03-06T00:00:00"/>
        <d v="2022-06-28T00:00:00"/>
        <d v="2022-07-06T00:00:00"/>
        <d v="2022-03-17T00:00:00"/>
        <d v="2022-03-23T00:00:00"/>
        <d v="2022-08-21T00:00:00"/>
        <d v="2022-07-16T00:00:00"/>
        <d v="2022-01-29T00:00:00"/>
        <d v="2022-03-19T00:00:00"/>
        <d v="2022-06-02T00:00:00"/>
        <d v="2022-08-26T00:00:00"/>
        <d v="2022-05-23T00:00:00"/>
        <d v="2022-01-03T00:00:00"/>
        <d v="2022-05-11T00:00:00"/>
        <d v="2022-01-09T00:00:00"/>
        <d v="2022-02-09T00:00:00"/>
        <d v="2022-02-07T00:00:00"/>
        <d v="2022-03-13T00:00:00"/>
        <d v="2022-01-16T00:00:00"/>
        <d v="2022-03-16T00:00:00"/>
        <d v="2022-01-27T00:00:00"/>
        <d v="2022-03-07T00:00:00"/>
        <d v="2022-01-22T00:00:00"/>
        <d v="2022-04-05T00:00:00"/>
        <d v="2022-07-08T00:00:00"/>
        <d v="2022-07-04T00:00:00"/>
        <d v="2022-04-13T00:00:00"/>
        <d v="2022-05-21T00:00:00"/>
        <d v="2022-06-23T00:00:00"/>
        <d v="2022-05-26T00:00:00"/>
        <d v="2022-07-26T00:00:00"/>
        <d v="2022-07-11T00:00:00"/>
        <d v="2022-04-02T00:00:00"/>
        <d v="2022-02-01T00:00:00"/>
        <d v="2022-01-21T00:00:00"/>
        <d v="2022-08-19T00:00:00"/>
        <d v="2022-07-18T00:00:00"/>
        <d v="2022-02-08T00:00:00"/>
        <d v="2022-08-10T00:00:00"/>
        <d v="2022-08-30T00:00:00"/>
        <d v="2022-04-08T00:00:00"/>
        <d v="2022-05-27T00:00:00"/>
        <d v="2022-02-05T00:00:00"/>
        <d v="2022-03-01T00:00:00"/>
        <d v="2022-03-02T00:00:00"/>
        <d v="2022-08-13T00:00:00"/>
        <d v="2022-05-02T00:00:00"/>
        <d v="2022-03-24T00:00:00"/>
        <d v="2022-07-03T00:00:00"/>
        <d v="2022-05-04T00:00:00"/>
        <d v="2022-01-17T00:00:00"/>
        <d v="2022-02-10T00:00:00"/>
        <d v="2022-03-09T00:00:00"/>
        <d v="2022-04-29T00:00:00"/>
        <d v="2022-06-17T00:00:00"/>
        <d v="2022-07-12T00:00:00"/>
        <d v="2022-08-29T00:00:00"/>
        <d v="2022-06-07T00:00:00"/>
        <d v="2022-06-10T00:00:00"/>
        <d v="2022-06-26T00:00:00"/>
        <d v="2022-07-31T00:00:00"/>
        <d v="2022-01-12T00:00:00"/>
        <d v="2022-08-16T00:00:00"/>
        <d v="2022-03-15T00:00:00"/>
        <d v="2022-01-04T00:00:00"/>
        <d v="2022-05-15T00:00:00"/>
        <d v="2022-03-18T00:00:00"/>
        <d v="2022-06-20T00:00:00"/>
        <d v="2022-04-03T00:00:00"/>
        <d v="2022-01-01T00:00:00"/>
        <d v="2022-05-13T00:00:00"/>
        <d v="2022-03-30T00:00:00"/>
        <d v="2022-08-04T00:00:00"/>
        <d v="2022-04-06T00:00:00"/>
        <d v="2022-03-28T00:00:00"/>
        <d v="2022-07-15T00:00:00"/>
        <d v="2022-02-12T00:00:00"/>
        <d v="2022-07-24T00:00:00"/>
        <d v="2022-08-22T00:00:00"/>
        <d v="2022-08-01T00:00:00"/>
        <d v="2022-02-19T00:00:00"/>
        <d v="2022-07-09T00:00:00"/>
        <d v="2022-06-29T00:00:00"/>
        <d v="2022-04-21T00:00:00"/>
        <d v="2022-03-11T00:00:00"/>
        <d v="2022-02-24T00:00:00"/>
        <d v="2022-01-19T00:00:00"/>
        <d v="2022-06-25T00:00:00"/>
        <d v="2022-01-31T00:00:00"/>
        <d v="2022-08-23T00:00:00"/>
        <d v="2022-08-09T00:00:00"/>
        <d v="2022-05-25T00:00:00"/>
        <d v="2022-06-11T00:00:00"/>
        <d v="2022-03-10T00:00:00"/>
        <d v="2022-07-07T00:00:00"/>
        <d v="2022-03-12T00:00:00"/>
        <d v="2022-08-11T00:00:00"/>
        <d v="2022-08-06T00:00:00"/>
        <d v="2022-04-16T00:00:00"/>
        <d v="2022-01-23T00:00:00"/>
        <d v="2022-08-25T00:00:00"/>
        <d v="2022-05-19T00:00:00"/>
        <d v="2022-07-21T00:00:00"/>
        <d v="2022-07-14T00:00:00"/>
        <d v="2022-02-11T00:00:00"/>
        <d v="2022-04-09T00:00:00"/>
        <d v="2022-04-11T00:00:00"/>
        <d v="2022-01-24T00:00:00"/>
        <d v="2022-06-04T00:00:00"/>
        <d v="2022-06-24T00:00:00"/>
        <d v="2022-08-20T00:00:00"/>
        <d v="2022-04-25T00:00:00"/>
        <d v="2022-05-29T00:00:00"/>
        <d v="2022-03-25T00:00:00"/>
        <d v="2022-01-07T00:00:00"/>
        <d v="2022-02-23T00:00:00"/>
        <d v="2022-02-06T00:00:00"/>
        <d v="2022-03-31T00:00:00"/>
        <d v="2022-02-16T00:00:00"/>
        <d v="2022-01-25T00:00:00"/>
        <d v="2022-06-21T00:00:00"/>
        <d v="2022-01-20T00:00:00"/>
        <d v="2022-01-10T00:00:00"/>
        <d v="2022-02-04T00:00:00"/>
        <d v="2022-06-12T00:00:00"/>
        <d v="2022-05-24T00:00:00"/>
        <d v="2022-04-28T00:00:00"/>
        <d v="2022-05-22T00:00:00"/>
        <d v="2022-07-25T00:00:00"/>
        <d v="2022-08-05T00:00:00"/>
        <d v="2022-02-17T00:00:00"/>
        <d v="2022-02-18T00:00:00"/>
        <d v="2022-08-17T00:00:00"/>
        <d v="2022-06-18T00:00:00"/>
        <d v="2022-02-26T00:00:00"/>
        <d v="2022-01-06T00:00:00"/>
        <d v="2022-04-14T00:00:00"/>
        <d v="2022-03-05T00:00:00"/>
        <d v="2022-05-03T00:00:00"/>
        <d v="2022-01-18T00:00:00"/>
        <d v="2022-05-08T00:00:00"/>
        <d v="2022-04-27T00:00:00"/>
        <d v="2022-05-12T00:00:00"/>
        <d v="2022-02-14T00:00:00"/>
        <d v="2022-08-31T00:00:00"/>
        <d v="2022-05-31T00:00:00"/>
      </sharedItems>
      <fieldGroup par="13"/>
    </cacheField>
    <cacheField name="Product Name" numFmtId="0">
      <sharedItems/>
    </cacheField>
    <cacheField name="Product Type" numFmtId="0">
      <sharedItems count="5">
        <s v="Sneakers"/>
        <s v="Hoodie"/>
        <s v="Joggers"/>
        <s v="T-shirt"/>
        <s v="Cap"/>
      </sharedItems>
    </cacheField>
    <cacheField name="Brand" numFmtId="0">
      <sharedItems count="7">
        <s v="Nike"/>
        <s v="Supreme"/>
        <s v="Puma"/>
        <s v="Adidas"/>
        <s v="Essentials"/>
        <s v="Off-White"/>
        <s v="New Era"/>
      </sharedItems>
    </cacheField>
    <cacheField name="Gender" numFmtId="0">
      <sharedItems/>
    </cacheField>
    <cacheField name="Category" numFmtId="0">
      <sharedItems/>
    </cacheField>
    <cacheField name="Country" numFmtId="0">
      <sharedItems count="7">
        <s v="USA"/>
        <s v="Germany"/>
        <s v="India"/>
        <s v="Australia"/>
        <s v="Japan"/>
        <s v="Canada"/>
        <s v="UK"/>
      </sharedItems>
    </cacheField>
    <cacheField name="Quantity" numFmtId="0">
      <sharedItems containsSemiMixedTypes="0" containsString="0" containsNumber="1" containsInteger="1" minValue="1" maxValue="5"/>
    </cacheField>
    <cacheField name="Unit Price ($)" numFmtId="0">
      <sharedItems containsSemiMixedTypes="0" containsString="0" containsNumber="1" minValue="50.1" maxValue="299.73"/>
    </cacheField>
    <cacheField name="Amount ($)" numFmtId="0">
      <sharedItems containsSemiMixedTypes="0" containsString="0" containsNumber="1" minValue="50.1" maxValue="1496.5"/>
    </cacheField>
    <cacheField name="Payment Mode" numFmtId="0">
      <sharedItems count="4">
        <s v="Card"/>
        <s v="Cash on Delivery"/>
        <s v="Wallet"/>
        <s v="UPI"/>
      </sharedItems>
    </cacheField>
    <cacheField name="Profit" numFmtId="0">
      <sharedItems containsSemiMixedTypes="0" containsString="0" containsNumber="1" minValue="10.020000000000001" maxValue="299.3"/>
    </cacheField>
    <cacheField name="Days (Date)" numFmtId="0" databaseField="0">
      <fieldGroup base="0">
        <rangePr groupBy="days" startDate="2022-01-01T00:00:00" endDate="2022-09-01T00:00:00"/>
        <groupItems count="368">
          <s v="&lt;1/01/2022"/>
          <s v="1-Ene"/>
          <s v="2-Ene"/>
          <s v="3-Ene"/>
          <s v="4-Ene"/>
          <s v="5-Ene"/>
          <s v="6-Ene"/>
          <s v="7-Ene"/>
          <s v="8-Ene"/>
          <s v="9-Ene"/>
          <s v="10-Ene"/>
          <s v="11-Ene"/>
          <s v="12-Ene"/>
          <s v="13-Ene"/>
          <s v="14-Ene"/>
          <s v="15-Ene"/>
          <s v="16-Ene"/>
          <s v="17-Ene"/>
          <s v="18-Ene"/>
          <s v="19-Ene"/>
          <s v="20-Ene"/>
          <s v="21-Ene"/>
          <s v="22-Ene"/>
          <s v="23-Ene"/>
          <s v="24-Ene"/>
          <s v="25-Ene"/>
          <s v="26-Ene"/>
          <s v="27-Ene"/>
          <s v="28-Ene"/>
          <s v="29-Ene"/>
          <s v="30-Ene"/>
          <s v="31-Ene"/>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br"/>
          <s v="2-Abr"/>
          <s v="3-Abr"/>
          <s v="4-Abr"/>
          <s v="5-Abr"/>
          <s v="6-Abr"/>
          <s v="7-Abr"/>
          <s v="8-Abr"/>
          <s v="9-Abr"/>
          <s v="10-Abr"/>
          <s v="11-Abr"/>
          <s v="12-Abr"/>
          <s v="13-Abr"/>
          <s v="14-Abr"/>
          <s v="15-Abr"/>
          <s v="16-Abr"/>
          <s v="17-Abr"/>
          <s v="18-Abr"/>
          <s v="19-Abr"/>
          <s v="20-Abr"/>
          <s v="21-Abr"/>
          <s v="22-Abr"/>
          <s v="23-Abr"/>
          <s v="24-Abr"/>
          <s v="25-Abr"/>
          <s v="26-Abr"/>
          <s v="27-Abr"/>
          <s v="28-Abr"/>
          <s v="29-Abr"/>
          <s v="30-Ab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go"/>
          <s v="2-Ago"/>
          <s v="3-Ago"/>
          <s v="4-Ago"/>
          <s v="5-Ago"/>
          <s v="6-Ago"/>
          <s v="7-Ago"/>
          <s v="8-Ago"/>
          <s v="9-Ago"/>
          <s v="10-Ago"/>
          <s v="11-Ago"/>
          <s v="12-Ago"/>
          <s v="13-Ago"/>
          <s v="14-Ago"/>
          <s v="15-Ago"/>
          <s v="16-Ago"/>
          <s v="17-Ago"/>
          <s v="18-Ago"/>
          <s v="19-Ago"/>
          <s v="20-Ago"/>
          <s v="21-Ago"/>
          <s v="22-Ago"/>
          <s v="23-Ago"/>
          <s v="24-Ago"/>
          <s v="25-Ago"/>
          <s v="26-Ago"/>
          <s v="27-Ago"/>
          <s v="28-Ago"/>
          <s v="29-Ago"/>
          <s v="30-Ago"/>
          <s v="31-Ago"/>
          <s v="1-Set"/>
          <s v="2-Set"/>
          <s v="3-Set"/>
          <s v="4-Set"/>
          <s v="5-Set"/>
          <s v="6-Set"/>
          <s v="7-Set"/>
          <s v="8-Set"/>
          <s v="9-Set"/>
          <s v="10-Set"/>
          <s v="11-Set"/>
          <s v="12-Set"/>
          <s v="13-Set"/>
          <s v="14-Set"/>
          <s v="15-Set"/>
          <s v="16-Set"/>
          <s v="17-Set"/>
          <s v="18-Set"/>
          <s v="19-Set"/>
          <s v="20-Set"/>
          <s v="21-Set"/>
          <s v="22-Set"/>
          <s v="23-Set"/>
          <s v="24-Set"/>
          <s v="25-Set"/>
          <s v="26-Set"/>
          <s v="27-Set"/>
          <s v="28-Set"/>
          <s v="29-Set"/>
          <s v="30-Set"/>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ic"/>
          <s v="2-Dic"/>
          <s v="3-Dic"/>
          <s v="4-Dic"/>
          <s v="5-Dic"/>
          <s v="6-Dic"/>
          <s v="7-Dic"/>
          <s v="8-Dic"/>
          <s v="9-Dic"/>
          <s v="10-Dic"/>
          <s v="11-Dic"/>
          <s v="12-Dic"/>
          <s v="13-Dic"/>
          <s v="14-Dic"/>
          <s v="15-Dic"/>
          <s v="16-Dic"/>
          <s v="17-Dic"/>
          <s v="18-Dic"/>
          <s v="19-Dic"/>
          <s v="20-Dic"/>
          <s v="21-Dic"/>
          <s v="22-Dic"/>
          <s v="23-Dic"/>
          <s v="24-Dic"/>
          <s v="25-Dic"/>
          <s v="26-Dic"/>
          <s v="27-Dic"/>
          <s v="28-Dic"/>
          <s v="29-Dic"/>
          <s v="30-Dic"/>
          <s v="31-Dic"/>
          <s v="&gt;1/09/2022"/>
        </groupItems>
      </fieldGroup>
    </cacheField>
    <cacheField name="Months (Date)" numFmtId="0" databaseField="0">
      <fieldGroup base="0">
        <rangePr groupBy="months" startDate="2022-01-01T00:00:00" endDate="2022-09-01T00:00:00"/>
        <groupItems count="14">
          <s v="&lt;1/01/2022"/>
          <s v="Ene"/>
          <s v="Feb"/>
          <s v="Mar"/>
          <s v="Abr"/>
          <s v="May"/>
          <s v="Jun"/>
          <s v="Jul"/>
          <s v="Ago"/>
          <s v="Set"/>
          <s v="Oct"/>
          <s v="Nov"/>
          <s v="Dic"/>
          <s v="&gt;1/09/2022"/>
        </groupItems>
      </fieldGroup>
    </cacheField>
  </cacheFields>
  <extLst>
    <ext xmlns:x14="http://schemas.microsoft.com/office/spreadsheetml/2009/9/main" uri="{725AE2AE-9491-48be-B2B4-4EB974FC3084}">
      <x14:pivotCacheDefinition pivotCacheId="132919645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53">
  <r>
    <x v="0"/>
    <s v="Jordan 1 High"/>
    <x v="0"/>
    <x v="0"/>
    <s v="Women"/>
    <s v="Limited Edition"/>
    <x v="0"/>
    <n v="5"/>
    <n v="299.3"/>
    <n v="1496.5"/>
    <x v="0"/>
    <n v="299.3"/>
  </r>
  <r>
    <x v="1"/>
    <s v="Supreme Hoodie"/>
    <x v="1"/>
    <x v="1"/>
    <s v="Women"/>
    <s v="Casual"/>
    <x v="1"/>
    <n v="5"/>
    <n v="293.20999999999998"/>
    <n v="1466.05"/>
    <x v="1"/>
    <n v="293.20999999999998"/>
  </r>
  <r>
    <x v="2"/>
    <s v="Jordan 1 High"/>
    <x v="0"/>
    <x v="0"/>
    <s v="Men"/>
    <s v="Limited Edition"/>
    <x v="2"/>
    <n v="5"/>
    <n v="291.7"/>
    <n v="1458.5"/>
    <x v="2"/>
    <n v="291.7"/>
  </r>
  <r>
    <x v="3"/>
    <s v="Puma Joggers"/>
    <x v="2"/>
    <x v="2"/>
    <s v="Unisex"/>
    <s v="Limited Edition"/>
    <x v="3"/>
    <n v="5"/>
    <n v="289.47000000000003"/>
    <n v="1447.35"/>
    <x v="0"/>
    <n v="289.46999999999997"/>
  </r>
  <r>
    <x v="4"/>
    <s v="Nike Dunk Low"/>
    <x v="0"/>
    <x v="0"/>
    <s v="Unisex"/>
    <s v="Limited Edition"/>
    <x v="1"/>
    <n v="5"/>
    <n v="285.37"/>
    <n v="1426.85"/>
    <x v="3"/>
    <n v="285.37"/>
  </r>
  <r>
    <x v="5"/>
    <s v="Adidas Ultraboost"/>
    <x v="0"/>
    <x v="3"/>
    <s v="Women"/>
    <s v="Sportswear"/>
    <x v="0"/>
    <n v="5"/>
    <n v="275.27"/>
    <n v="1376.35"/>
    <x v="0"/>
    <n v="275.27"/>
  </r>
  <r>
    <x v="6"/>
    <s v="Nike Dunk Low"/>
    <x v="0"/>
    <x v="0"/>
    <s v="Women"/>
    <s v="Streetwear"/>
    <x v="3"/>
    <n v="5"/>
    <n v="273"/>
    <n v="1365"/>
    <x v="0"/>
    <n v="273"/>
  </r>
  <r>
    <x v="4"/>
    <s v="Nike Dunk Low"/>
    <x v="0"/>
    <x v="0"/>
    <s v="Women"/>
    <s v="Limited Edition"/>
    <x v="4"/>
    <n v="5"/>
    <n v="270.14"/>
    <n v="1350.7"/>
    <x v="2"/>
    <n v="270.14000000000004"/>
  </r>
  <r>
    <x v="7"/>
    <s v="Fear of God Essentials Tee"/>
    <x v="3"/>
    <x v="4"/>
    <s v="Men"/>
    <s v="Streetwear"/>
    <x v="5"/>
    <n v="5"/>
    <n v="267.70999999999998"/>
    <n v="1338.55"/>
    <x v="1"/>
    <n v="267.70999999999998"/>
  </r>
  <r>
    <x v="8"/>
    <s v="Yeezy Boost 350"/>
    <x v="0"/>
    <x v="3"/>
    <s v="Women"/>
    <s v="Casual"/>
    <x v="4"/>
    <n v="5"/>
    <n v="262.68"/>
    <n v="1313.4"/>
    <x v="2"/>
    <n v="262.68"/>
  </r>
  <r>
    <x v="9"/>
    <s v="Nike Tech Fleece"/>
    <x v="1"/>
    <x v="0"/>
    <s v="Women"/>
    <s v="Casual"/>
    <x v="1"/>
    <n v="5"/>
    <n v="259"/>
    <n v="1295"/>
    <x v="0"/>
    <n v="259"/>
  </r>
  <r>
    <x v="10"/>
    <s v="Off-White Hoodie"/>
    <x v="1"/>
    <x v="5"/>
    <s v="Women"/>
    <s v="Streetwear"/>
    <x v="5"/>
    <n v="5"/>
    <n v="256.22000000000003"/>
    <n v="1281.0999999999999"/>
    <x v="2"/>
    <n v="256.21999999999997"/>
  </r>
  <r>
    <x v="10"/>
    <s v="New Era Cap"/>
    <x v="4"/>
    <x v="6"/>
    <s v="Men"/>
    <s v="Casual"/>
    <x v="5"/>
    <n v="5"/>
    <n v="251.06"/>
    <n v="1255.3"/>
    <x v="3"/>
    <n v="251.06"/>
  </r>
  <r>
    <x v="11"/>
    <s v="Yeezy Boost 350"/>
    <x v="0"/>
    <x v="3"/>
    <s v="Unisex"/>
    <s v="Sportswear"/>
    <x v="0"/>
    <n v="5"/>
    <n v="248.71"/>
    <n v="1243.55"/>
    <x v="2"/>
    <n v="248.71"/>
  </r>
  <r>
    <x v="12"/>
    <s v="Nike Tech Fleece"/>
    <x v="1"/>
    <x v="0"/>
    <s v="Women"/>
    <s v="Streetwear"/>
    <x v="1"/>
    <n v="5"/>
    <n v="243.74"/>
    <n v="1218.7"/>
    <x v="2"/>
    <n v="243.74"/>
  </r>
  <r>
    <x v="13"/>
    <s v="Supreme Hoodie"/>
    <x v="1"/>
    <x v="1"/>
    <s v="Women"/>
    <s v="Casual"/>
    <x v="1"/>
    <n v="5"/>
    <n v="241.67"/>
    <n v="1208.3499999999999"/>
    <x v="0"/>
    <n v="241.67"/>
  </r>
  <r>
    <x v="14"/>
    <s v="Puma Joggers"/>
    <x v="2"/>
    <x v="2"/>
    <s v="Women"/>
    <s v="Casual"/>
    <x v="1"/>
    <n v="4"/>
    <n v="299.73"/>
    <n v="1198.92"/>
    <x v="1"/>
    <n v="239.78400000000002"/>
  </r>
  <r>
    <x v="15"/>
    <s v="Jordan 1 High"/>
    <x v="0"/>
    <x v="0"/>
    <s v="Unisex"/>
    <s v="Sportswear"/>
    <x v="4"/>
    <n v="4"/>
    <n v="298.22000000000003"/>
    <n v="1192.8800000000001"/>
    <x v="2"/>
    <n v="238.57600000000002"/>
  </r>
  <r>
    <x v="16"/>
    <s v="Nike Dunk Low"/>
    <x v="0"/>
    <x v="0"/>
    <s v="Unisex"/>
    <s v="Streetwear"/>
    <x v="2"/>
    <n v="4"/>
    <n v="295.52999999999997"/>
    <n v="1182.1199999999999"/>
    <x v="2"/>
    <n v="236.42399999999998"/>
  </r>
  <r>
    <x v="17"/>
    <s v="Supreme Hoodie"/>
    <x v="1"/>
    <x v="1"/>
    <s v="Men"/>
    <s v="Limited Edition"/>
    <x v="3"/>
    <n v="5"/>
    <n v="235.5"/>
    <n v="1177.5"/>
    <x v="2"/>
    <n v="235.5"/>
  </r>
  <r>
    <x v="18"/>
    <s v="Off-White Hoodie"/>
    <x v="1"/>
    <x v="5"/>
    <s v="Women"/>
    <s v="Casual"/>
    <x v="6"/>
    <n v="5"/>
    <n v="234.84"/>
    <n v="1174.2"/>
    <x v="0"/>
    <n v="234.84000000000003"/>
  </r>
  <r>
    <x v="19"/>
    <s v="Nike Dunk Low"/>
    <x v="0"/>
    <x v="0"/>
    <s v="Men"/>
    <s v="Casual"/>
    <x v="6"/>
    <n v="4"/>
    <n v="293.33"/>
    <n v="1173.32"/>
    <x v="0"/>
    <n v="234.66399999999999"/>
  </r>
  <r>
    <x v="20"/>
    <s v="Nike Tech Fleece"/>
    <x v="1"/>
    <x v="0"/>
    <s v="Women"/>
    <s v="Streetwear"/>
    <x v="5"/>
    <n v="5"/>
    <n v="234.28"/>
    <n v="1171.4000000000001"/>
    <x v="1"/>
    <n v="234.28000000000003"/>
  </r>
  <r>
    <x v="21"/>
    <s v="Jordan 1 High"/>
    <x v="0"/>
    <x v="0"/>
    <s v="Women"/>
    <s v="Casual"/>
    <x v="5"/>
    <n v="4"/>
    <n v="292.75"/>
    <n v="1171"/>
    <x v="2"/>
    <n v="234.20000000000002"/>
  </r>
  <r>
    <x v="22"/>
    <s v="Nike Dunk Low"/>
    <x v="0"/>
    <x v="0"/>
    <s v="Women"/>
    <s v="Streetwear"/>
    <x v="1"/>
    <n v="4"/>
    <n v="283.7"/>
    <n v="1134.8"/>
    <x v="0"/>
    <n v="226.96"/>
  </r>
  <r>
    <x v="23"/>
    <s v="Nike Tech Fleece"/>
    <x v="1"/>
    <x v="0"/>
    <s v="Unisex"/>
    <s v="Casual"/>
    <x v="0"/>
    <n v="4"/>
    <n v="281.54000000000002"/>
    <n v="1126.1600000000001"/>
    <x v="2"/>
    <n v="225.23200000000003"/>
  </r>
  <r>
    <x v="24"/>
    <s v="Adidas Ultraboost"/>
    <x v="0"/>
    <x v="3"/>
    <s v="Unisex"/>
    <s v="Casual"/>
    <x v="4"/>
    <n v="4"/>
    <n v="281"/>
    <n v="1124"/>
    <x v="3"/>
    <n v="224.8"/>
  </r>
  <r>
    <x v="25"/>
    <s v="Puma Joggers"/>
    <x v="2"/>
    <x v="2"/>
    <s v="Women"/>
    <s v="Streetwear"/>
    <x v="4"/>
    <n v="5"/>
    <n v="224.71"/>
    <n v="1123.55"/>
    <x v="3"/>
    <n v="224.71"/>
  </r>
  <r>
    <x v="26"/>
    <s v="Off-White Hoodie"/>
    <x v="1"/>
    <x v="5"/>
    <s v="Women"/>
    <s v="Sportswear"/>
    <x v="0"/>
    <n v="5"/>
    <n v="220.59"/>
    <n v="1102.95"/>
    <x v="2"/>
    <n v="220.59000000000003"/>
  </r>
  <r>
    <x v="27"/>
    <s v="New Era Cap"/>
    <x v="4"/>
    <x v="6"/>
    <s v="Women"/>
    <s v="Limited Edition"/>
    <x v="3"/>
    <n v="4"/>
    <n v="270.55"/>
    <n v="1082.2"/>
    <x v="1"/>
    <n v="216.44000000000003"/>
  </r>
  <r>
    <x v="28"/>
    <s v="Puma Joggers"/>
    <x v="2"/>
    <x v="2"/>
    <s v="Unisex"/>
    <s v="Streetwear"/>
    <x v="4"/>
    <n v="5"/>
    <n v="215.63"/>
    <n v="1078.1500000000001"/>
    <x v="0"/>
    <n v="215.63000000000002"/>
  </r>
  <r>
    <x v="29"/>
    <s v="Adidas Ultraboost"/>
    <x v="0"/>
    <x v="3"/>
    <s v="Men"/>
    <s v="Streetwear"/>
    <x v="6"/>
    <n v="5"/>
    <n v="215.38"/>
    <n v="1076.9000000000001"/>
    <x v="0"/>
    <n v="215.38000000000002"/>
  </r>
  <r>
    <x v="30"/>
    <s v="Nike Dunk Low"/>
    <x v="0"/>
    <x v="0"/>
    <s v="Men"/>
    <s v="Streetwear"/>
    <x v="3"/>
    <n v="5"/>
    <n v="214"/>
    <n v="1070"/>
    <x v="2"/>
    <n v="214"/>
  </r>
  <r>
    <x v="31"/>
    <s v="Jordan 1 High"/>
    <x v="0"/>
    <x v="0"/>
    <s v="Women"/>
    <s v="Streetwear"/>
    <x v="2"/>
    <n v="4"/>
    <n v="265.91000000000003"/>
    <n v="1063.6400000000001"/>
    <x v="3"/>
    <n v="212.72800000000004"/>
  </r>
  <r>
    <x v="32"/>
    <s v="Adidas Ultraboost"/>
    <x v="0"/>
    <x v="3"/>
    <s v="Men"/>
    <s v="Casual"/>
    <x v="2"/>
    <n v="4"/>
    <n v="261.95999999999998"/>
    <n v="1047.8399999999999"/>
    <x v="1"/>
    <n v="209.56799999999998"/>
  </r>
  <r>
    <x v="16"/>
    <s v="Yeezy Boost 350"/>
    <x v="0"/>
    <x v="3"/>
    <s v="Unisex"/>
    <s v="Limited Edition"/>
    <x v="1"/>
    <n v="5"/>
    <n v="208.24"/>
    <n v="1041.2"/>
    <x v="0"/>
    <n v="208.24"/>
  </r>
  <r>
    <x v="33"/>
    <s v="Off-White Hoodie"/>
    <x v="1"/>
    <x v="5"/>
    <s v="Unisex"/>
    <s v="Streetwear"/>
    <x v="0"/>
    <n v="4"/>
    <n v="258.82"/>
    <n v="1035.28"/>
    <x v="1"/>
    <n v="207.05600000000001"/>
  </r>
  <r>
    <x v="34"/>
    <s v="Nike Dunk Low"/>
    <x v="0"/>
    <x v="0"/>
    <s v="Women"/>
    <s v="Limited Edition"/>
    <x v="4"/>
    <n v="4"/>
    <n v="258.60000000000002"/>
    <n v="1034.4000000000001"/>
    <x v="0"/>
    <n v="206.88000000000002"/>
  </r>
  <r>
    <x v="35"/>
    <s v="Fear of God Essentials Tee"/>
    <x v="3"/>
    <x v="4"/>
    <s v="Men"/>
    <s v="Casual"/>
    <x v="2"/>
    <n v="5"/>
    <n v="204.35"/>
    <n v="1021.75"/>
    <x v="2"/>
    <n v="204.35000000000002"/>
  </r>
  <r>
    <x v="36"/>
    <s v="Puma Joggers"/>
    <x v="2"/>
    <x v="2"/>
    <s v="Women"/>
    <s v="Streetwear"/>
    <x v="6"/>
    <n v="5"/>
    <n v="203.5"/>
    <n v="1017.5"/>
    <x v="0"/>
    <n v="203.5"/>
  </r>
  <r>
    <x v="37"/>
    <s v="Puma Joggers"/>
    <x v="2"/>
    <x v="2"/>
    <s v="Women"/>
    <s v="Sportswear"/>
    <x v="4"/>
    <n v="4"/>
    <n v="250.26"/>
    <n v="1001.04"/>
    <x v="0"/>
    <n v="200.208"/>
  </r>
  <r>
    <x v="16"/>
    <s v="Fear of God Essentials Tee"/>
    <x v="3"/>
    <x v="4"/>
    <s v="Men"/>
    <s v="Sportswear"/>
    <x v="5"/>
    <n v="4"/>
    <n v="250.12"/>
    <n v="1000.48"/>
    <x v="0"/>
    <n v="200.096"/>
  </r>
  <r>
    <x v="38"/>
    <s v="Jordan 1 High"/>
    <x v="0"/>
    <x v="0"/>
    <s v="Men"/>
    <s v="Casual"/>
    <x v="3"/>
    <n v="5"/>
    <n v="199.42"/>
    <n v="997.1"/>
    <x v="1"/>
    <n v="199.42000000000002"/>
  </r>
  <r>
    <x v="39"/>
    <s v="Nike Tech Fleece"/>
    <x v="1"/>
    <x v="0"/>
    <s v="Men"/>
    <s v="Casual"/>
    <x v="1"/>
    <n v="4"/>
    <n v="246.66"/>
    <n v="986.64"/>
    <x v="1"/>
    <n v="197.328"/>
  </r>
  <r>
    <x v="40"/>
    <s v="Nike Tech Fleece"/>
    <x v="1"/>
    <x v="0"/>
    <s v="Men"/>
    <s v="Limited Edition"/>
    <x v="0"/>
    <n v="4"/>
    <n v="245.44"/>
    <n v="981.76"/>
    <x v="1"/>
    <n v="196.352"/>
  </r>
  <r>
    <x v="41"/>
    <s v="Off-White Hoodie"/>
    <x v="1"/>
    <x v="5"/>
    <s v="Women"/>
    <s v="Casual"/>
    <x v="0"/>
    <n v="5"/>
    <n v="195.57"/>
    <n v="977.85"/>
    <x v="1"/>
    <n v="195.57000000000002"/>
  </r>
  <r>
    <x v="42"/>
    <s v="Supreme Hoodie"/>
    <x v="1"/>
    <x v="1"/>
    <s v="Men"/>
    <s v="Casual"/>
    <x v="6"/>
    <n v="4"/>
    <n v="243.48"/>
    <n v="973.92"/>
    <x v="2"/>
    <n v="194.78399999999999"/>
  </r>
  <r>
    <x v="43"/>
    <s v="Puma Joggers"/>
    <x v="2"/>
    <x v="2"/>
    <s v="Women"/>
    <s v="Streetwear"/>
    <x v="4"/>
    <n v="4"/>
    <n v="242.44"/>
    <n v="969.76"/>
    <x v="1"/>
    <n v="193.952"/>
  </r>
  <r>
    <x v="44"/>
    <s v="Off-White Hoodie"/>
    <x v="1"/>
    <x v="5"/>
    <s v="Unisex"/>
    <s v="Streetwear"/>
    <x v="5"/>
    <n v="4"/>
    <n v="240.64"/>
    <n v="962.56"/>
    <x v="1"/>
    <n v="192.512"/>
  </r>
  <r>
    <x v="45"/>
    <s v="Jordan 1 High"/>
    <x v="0"/>
    <x v="0"/>
    <s v="Men"/>
    <s v="Casual"/>
    <x v="5"/>
    <n v="4"/>
    <n v="239.54"/>
    <n v="958.16"/>
    <x v="2"/>
    <n v="191.63200000000001"/>
  </r>
  <r>
    <x v="46"/>
    <s v="Fear of God Essentials Tee"/>
    <x v="3"/>
    <x v="4"/>
    <s v="Unisex"/>
    <s v="Limited Edition"/>
    <x v="6"/>
    <n v="4"/>
    <n v="238.52"/>
    <n v="954.08"/>
    <x v="1"/>
    <n v="190.81600000000003"/>
  </r>
  <r>
    <x v="47"/>
    <s v="Adidas Ultraboost"/>
    <x v="0"/>
    <x v="3"/>
    <s v="Women"/>
    <s v="Casual"/>
    <x v="1"/>
    <n v="5"/>
    <n v="190.03"/>
    <n v="950.15"/>
    <x v="1"/>
    <n v="190.03"/>
  </r>
  <r>
    <x v="48"/>
    <s v="Yeezy Boost 350"/>
    <x v="0"/>
    <x v="3"/>
    <s v="Women"/>
    <s v="Sportswear"/>
    <x v="2"/>
    <n v="5"/>
    <n v="189.94"/>
    <n v="949.7"/>
    <x v="1"/>
    <n v="189.94000000000003"/>
  </r>
  <r>
    <x v="49"/>
    <s v="Nike Tech Fleece"/>
    <x v="1"/>
    <x v="0"/>
    <s v="Men"/>
    <s v="Sportswear"/>
    <x v="0"/>
    <n v="5"/>
    <n v="188.61"/>
    <n v="943.05"/>
    <x v="2"/>
    <n v="188.61"/>
  </r>
  <r>
    <x v="50"/>
    <s v="Nike Dunk Low"/>
    <x v="0"/>
    <x v="0"/>
    <s v="Women"/>
    <s v="Streetwear"/>
    <x v="0"/>
    <n v="5"/>
    <n v="183.55"/>
    <n v="917.75"/>
    <x v="1"/>
    <n v="183.55"/>
  </r>
  <r>
    <x v="51"/>
    <s v="Nike Dunk Low"/>
    <x v="0"/>
    <x v="0"/>
    <s v="Men"/>
    <s v="Sportswear"/>
    <x v="3"/>
    <n v="4"/>
    <n v="228.88"/>
    <n v="915.52"/>
    <x v="0"/>
    <n v="183.10400000000001"/>
  </r>
  <r>
    <x v="52"/>
    <s v="Off-White Hoodie"/>
    <x v="1"/>
    <x v="5"/>
    <s v="Men"/>
    <s v="Casual"/>
    <x v="6"/>
    <n v="4"/>
    <n v="228.46"/>
    <n v="913.84"/>
    <x v="1"/>
    <n v="182.76800000000003"/>
  </r>
  <r>
    <x v="53"/>
    <s v="Supreme Hoodie"/>
    <x v="1"/>
    <x v="1"/>
    <s v="Men"/>
    <s v="Streetwear"/>
    <x v="2"/>
    <n v="5"/>
    <n v="179.54"/>
    <n v="897.7"/>
    <x v="3"/>
    <n v="179.54000000000002"/>
  </r>
  <r>
    <x v="54"/>
    <s v="Off-White Hoodie"/>
    <x v="1"/>
    <x v="5"/>
    <s v="Women"/>
    <s v="Casual"/>
    <x v="5"/>
    <n v="3"/>
    <n v="296.55"/>
    <n v="889.65"/>
    <x v="0"/>
    <n v="177.93"/>
  </r>
  <r>
    <x v="55"/>
    <s v="Nike Dunk Low"/>
    <x v="0"/>
    <x v="0"/>
    <s v="Women"/>
    <s v="Casual"/>
    <x v="1"/>
    <n v="3"/>
    <n v="295.75"/>
    <n v="887.25"/>
    <x v="0"/>
    <n v="177.45000000000002"/>
  </r>
  <r>
    <x v="23"/>
    <s v="New Era Cap"/>
    <x v="4"/>
    <x v="6"/>
    <s v="Men"/>
    <s v="Sportswear"/>
    <x v="0"/>
    <n v="3"/>
    <n v="295.25"/>
    <n v="885.75"/>
    <x v="2"/>
    <n v="177.15"/>
  </r>
  <r>
    <x v="56"/>
    <s v="Off-White Hoodie"/>
    <x v="1"/>
    <x v="5"/>
    <s v="Women"/>
    <s v="Sportswear"/>
    <x v="0"/>
    <n v="4"/>
    <n v="221.31"/>
    <n v="885.24"/>
    <x v="0"/>
    <n v="177.048"/>
  </r>
  <r>
    <x v="57"/>
    <s v="Nike Dunk Low"/>
    <x v="0"/>
    <x v="0"/>
    <s v="Women"/>
    <s v="Streetwear"/>
    <x v="0"/>
    <n v="5"/>
    <n v="176.98"/>
    <n v="884.9"/>
    <x v="0"/>
    <n v="176.98000000000002"/>
  </r>
  <r>
    <x v="58"/>
    <s v="Yeezy Boost 350"/>
    <x v="0"/>
    <x v="3"/>
    <s v="Unisex"/>
    <s v="Casual"/>
    <x v="1"/>
    <n v="4"/>
    <n v="218.82"/>
    <n v="875.28"/>
    <x v="2"/>
    <n v="175.05600000000001"/>
  </r>
  <r>
    <x v="59"/>
    <s v="Yeezy Boost 350"/>
    <x v="0"/>
    <x v="3"/>
    <s v="Women"/>
    <s v="Limited Edition"/>
    <x v="2"/>
    <n v="3"/>
    <n v="291.29000000000002"/>
    <n v="873.87"/>
    <x v="2"/>
    <n v="174.774"/>
  </r>
  <r>
    <x v="60"/>
    <s v="Jordan 1 High"/>
    <x v="0"/>
    <x v="0"/>
    <s v="Women"/>
    <s v="Streetwear"/>
    <x v="2"/>
    <n v="4"/>
    <n v="214.93"/>
    <n v="859.72"/>
    <x v="0"/>
    <n v="171.94400000000002"/>
  </r>
  <r>
    <x v="61"/>
    <s v="Off-White Hoodie"/>
    <x v="1"/>
    <x v="5"/>
    <s v="Men"/>
    <s v="Casual"/>
    <x v="0"/>
    <n v="4"/>
    <n v="213.82"/>
    <n v="855.28"/>
    <x v="0"/>
    <n v="171.05600000000001"/>
  </r>
  <r>
    <x v="24"/>
    <s v="New Era Cap"/>
    <x v="4"/>
    <x v="6"/>
    <s v="Women"/>
    <s v="Streetwear"/>
    <x v="1"/>
    <n v="4"/>
    <n v="212.66"/>
    <n v="850.64"/>
    <x v="2"/>
    <n v="170.12800000000001"/>
  </r>
  <r>
    <x v="62"/>
    <s v="Yeezy Boost 350"/>
    <x v="0"/>
    <x v="3"/>
    <s v="Women"/>
    <s v="Sportswear"/>
    <x v="1"/>
    <n v="4"/>
    <n v="211.37"/>
    <n v="845.48"/>
    <x v="0"/>
    <n v="169.096"/>
  </r>
  <r>
    <x v="63"/>
    <s v="Nike Dunk Low"/>
    <x v="0"/>
    <x v="0"/>
    <s v="Women"/>
    <s v="Limited Edition"/>
    <x v="6"/>
    <n v="5"/>
    <n v="168.7"/>
    <n v="843.5"/>
    <x v="2"/>
    <n v="168.70000000000002"/>
  </r>
  <r>
    <x v="64"/>
    <s v="Yeezy Boost 350"/>
    <x v="0"/>
    <x v="3"/>
    <s v="Unisex"/>
    <s v="Casual"/>
    <x v="6"/>
    <n v="3"/>
    <n v="280.64"/>
    <n v="841.92"/>
    <x v="0"/>
    <n v="168.38400000000001"/>
  </r>
  <r>
    <x v="44"/>
    <s v="Jordan 1 High"/>
    <x v="0"/>
    <x v="0"/>
    <s v="Men"/>
    <s v="Sportswear"/>
    <x v="5"/>
    <n v="3"/>
    <n v="278.14999999999998"/>
    <n v="834.45"/>
    <x v="2"/>
    <n v="166.89000000000001"/>
  </r>
  <r>
    <x v="65"/>
    <s v="Adidas Ultraboost"/>
    <x v="0"/>
    <x v="3"/>
    <s v="Men"/>
    <s v="Streetwear"/>
    <x v="4"/>
    <n v="4"/>
    <n v="208.19"/>
    <n v="832.76"/>
    <x v="2"/>
    <n v="166.55200000000002"/>
  </r>
  <r>
    <x v="66"/>
    <s v="New Era Cap"/>
    <x v="4"/>
    <x v="6"/>
    <s v="Men"/>
    <s v="Sportswear"/>
    <x v="4"/>
    <n v="4"/>
    <n v="207.05"/>
    <n v="828.2"/>
    <x v="3"/>
    <n v="165.64000000000001"/>
  </r>
  <r>
    <x v="67"/>
    <s v="Yeezy Boost 350"/>
    <x v="0"/>
    <x v="3"/>
    <s v="Unisex"/>
    <s v="Limited Edition"/>
    <x v="2"/>
    <n v="4"/>
    <n v="206.29"/>
    <n v="825.16"/>
    <x v="2"/>
    <n v="165.03200000000001"/>
  </r>
  <r>
    <x v="68"/>
    <s v="Off-White Hoodie"/>
    <x v="1"/>
    <x v="5"/>
    <s v="Women"/>
    <s v="Streetwear"/>
    <x v="5"/>
    <n v="3"/>
    <n v="274.23"/>
    <n v="822.69"/>
    <x v="1"/>
    <n v="164.53800000000001"/>
  </r>
  <r>
    <x v="54"/>
    <s v="Nike Dunk Low"/>
    <x v="0"/>
    <x v="0"/>
    <s v="Men"/>
    <s v="Limited Edition"/>
    <x v="6"/>
    <n v="4"/>
    <n v="205.64"/>
    <n v="822.56"/>
    <x v="2"/>
    <n v="164.512"/>
  </r>
  <r>
    <x v="69"/>
    <s v="Jordan 1 High"/>
    <x v="0"/>
    <x v="0"/>
    <s v="Men"/>
    <s v="Streetwear"/>
    <x v="2"/>
    <n v="4"/>
    <n v="204.62"/>
    <n v="818.48"/>
    <x v="2"/>
    <n v="163.69600000000003"/>
  </r>
  <r>
    <x v="70"/>
    <s v="Puma Joggers"/>
    <x v="2"/>
    <x v="2"/>
    <s v="Unisex"/>
    <s v="Streetwear"/>
    <x v="5"/>
    <n v="3"/>
    <n v="271.19"/>
    <n v="813.57"/>
    <x v="1"/>
    <n v="162.71400000000003"/>
  </r>
  <r>
    <x v="71"/>
    <s v="Jordan 1 High"/>
    <x v="0"/>
    <x v="0"/>
    <s v="Men"/>
    <s v="Casual"/>
    <x v="5"/>
    <n v="4"/>
    <n v="203.25"/>
    <n v="813"/>
    <x v="2"/>
    <n v="162.60000000000002"/>
  </r>
  <r>
    <x v="50"/>
    <s v="Nike Tech Fleece"/>
    <x v="1"/>
    <x v="0"/>
    <s v="Unisex"/>
    <s v="Casual"/>
    <x v="6"/>
    <n v="5"/>
    <n v="162.38"/>
    <n v="811.9"/>
    <x v="0"/>
    <n v="162.38"/>
  </r>
  <r>
    <x v="55"/>
    <s v="Nike Dunk Low"/>
    <x v="0"/>
    <x v="0"/>
    <s v="Men"/>
    <s v="Limited Edition"/>
    <x v="4"/>
    <n v="3"/>
    <n v="270.52"/>
    <n v="811.56"/>
    <x v="3"/>
    <n v="162.31200000000001"/>
  </r>
  <r>
    <x v="72"/>
    <s v="Nike Dunk Low"/>
    <x v="0"/>
    <x v="0"/>
    <s v="Women"/>
    <s v="Casual"/>
    <x v="1"/>
    <n v="4"/>
    <n v="202.28"/>
    <n v="809.12"/>
    <x v="0"/>
    <n v="161.82400000000001"/>
  </r>
  <r>
    <x v="73"/>
    <s v="Supreme Hoodie"/>
    <x v="1"/>
    <x v="1"/>
    <s v="Unisex"/>
    <s v="Limited Edition"/>
    <x v="4"/>
    <n v="4"/>
    <n v="199.68"/>
    <n v="798.72"/>
    <x v="2"/>
    <n v="159.74400000000003"/>
  </r>
  <r>
    <x v="61"/>
    <s v="Off-White Hoodie"/>
    <x v="1"/>
    <x v="5"/>
    <s v="Unisex"/>
    <s v="Streetwear"/>
    <x v="0"/>
    <n v="4"/>
    <n v="198.45"/>
    <n v="793.8"/>
    <x v="2"/>
    <n v="158.76"/>
  </r>
  <r>
    <x v="30"/>
    <s v="Puma Joggers"/>
    <x v="2"/>
    <x v="2"/>
    <s v="Unisex"/>
    <s v="Limited Edition"/>
    <x v="4"/>
    <n v="3"/>
    <n v="264.14"/>
    <n v="792.42"/>
    <x v="0"/>
    <n v="158.48400000000001"/>
  </r>
  <r>
    <x v="74"/>
    <s v="Nike Tech Fleece"/>
    <x v="1"/>
    <x v="0"/>
    <s v="Men"/>
    <s v="Casual"/>
    <x v="3"/>
    <n v="5"/>
    <n v="157.19999999999999"/>
    <n v="786"/>
    <x v="2"/>
    <n v="157.20000000000002"/>
  </r>
  <r>
    <x v="75"/>
    <s v="Jordan 1 High"/>
    <x v="0"/>
    <x v="0"/>
    <s v="Men"/>
    <s v="Streetwear"/>
    <x v="1"/>
    <n v="4"/>
    <n v="196.45"/>
    <n v="785.8"/>
    <x v="3"/>
    <n v="157.16"/>
  </r>
  <r>
    <x v="8"/>
    <s v="Adidas Ultraboost"/>
    <x v="0"/>
    <x v="3"/>
    <s v="Unisex"/>
    <s v="Sportswear"/>
    <x v="3"/>
    <n v="3"/>
    <n v="261.31"/>
    <n v="783.93"/>
    <x v="0"/>
    <n v="156.786"/>
  </r>
  <r>
    <x v="14"/>
    <s v="Nike Tech Fleece"/>
    <x v="1"/>
    <x v="0"/>
    <s v="Unisex"/>
    <s v="Sportswear"/>
    <x v="4"/>
    <n v="3"/>
    <n v="257.92"/>
    <n v="773.76"/>
    <x v="2"/>
    <n v="154.75200000000001"/>
  </r>
  <r>
    <x v="76"/>
    <s v="Nike Tech Fleece"/>
    <x v="1"/>
    <x v="0"/>
    <s v="Men"/>
    <s v="Streetwear"/>
    <x v="6"/>
    <n v="3"/>
    <n v="256.72000000000003"/>
    <n v="770.16"/>
    <x v="3"/>
    <n v="154.03200000000001"/>
  </r>
  <r>
    <x v="77"/>
    <s v="Puma Joggers"/>
    <x v="2"/>
    <x v="2"/>
    <s v="Men"/>
    <s v="Streetwear"/>
    <x v="5"/>
    <n v="3"/>
    <n v="256.27"/>
    <n v="768.81"/>
    <x v="1"/>
    <n v="153.762"/>
  </r>
  <r>
    <x v="4"/>
    <s v="Off-White Hoodie"/>
    <x v="1"/>
    <x v="5"/>
    <s v="Men"/>
    <s v="Limited Edition"/>
    <x v="1"/>
    <n v="4"/>
    <n v="191.11"/>
    <n v="764.44"/>
    <x v="2"/>
    <n v="152.88800000000001"/>
  </r>
  <r>
    <x v="63"/>
    <s v="Nike Dunk Low"/>
    <x v="0"/>
    <x v="0"/>
    <s v="Unisex"/>
    <s v="Limited Edition"/>
    <x v="4"/>
    <n v="5"/>
    <n v="150.02000000000001"/>
    <n v="750.1"/>
    <x v="1"/>
    <n v="150.02000000000001"/>
  </r>
  <r>
    <x v="78"/>
    <s v="Yeezy Boost 350"/>
    <x v="0"/>
    <x v="3"/>
    <s v="Men"/>
    <s v="Sportswear"/>
    <x v="6"/>
    <n v="4"/>
    <n v="185.7"/>
    <n v="742.8"/>
    <x v="2"/>
    <n v="148.56"/>
  </r>
  <r>
    <x v="79"/>
    <s v="Fear of God Essentials Tee"/>
    <x v="3"/>
    <x v="4"/>
    <s v="Men"/>
    <s v="Sportswear"/>
    <x v="4"/>
    <n v="5"/>
    <n v="148.46"/>
    <n v="742.3"/>
    <x v="0"/>
    <n v="148.46"/>
  </r>
  <r>
    <x v="46"/>
    <s v="New Era Cap"/>
    <x v="4"/>
    <x v="6"/>
    <s v="Women"/>
    <s v="Casual"/>
    <x v="5"/>
    <n v="4"/>
    <n v="185.54"/>
    <n v="742.16"/>
    <x v="3"/>
    <n v="148.43199999999999"/>
  </r>
  <r>
    <x v="80"/>
    <s v="Nike Tech Fleece"/>
    <x v="1"/>
    <x v="0"/>
    <s v="Women"/>
    <s v="Casual"/>
    <x v="3"/>
    <n v="5"/>
    <n v="147.99"/>
    <n v="739.95"/>
    <x v="3"/>
    <n v="147.99"/>
  </r>
  <r>
    <x v="81"/>
    <s v="Off-White Hoodie"/>
    <x v="1"/>
    <x v="5"/>
    <s v="Men"/>
    <s v="Sportswear"/>
    <x v="3"/>
    <n v="3"/>
    <n v="246.13"/>
    <n v="738.39"/>
    <x v="3"/>
    <n v="147.678"/>
  </r>
  <r>
    <x v="82"/>
    <s v="New Era Cap"/>
    <x v="4"/>
    <x v="6"/>
    <s v="Women"/>
    <s v="Casual"/>
    <x v="6"/>
    <n v="5"/>
    <n v="147.13"/>
    <n v="735.65"/>
    <x v="2"/>
    <n v="147.13"/>
  </r>
  <r>
    <x v="83"/>
    <s v="Nike Dunk Low"/>
    <x v="0"/>
    <x v="0"/>
    <s v="Women"/>
    <s v="Limited Edition"/>
    <x v="6"/>
    <n v="4"/>
    <n v="183.4"/>
    <n v="733.6"/>
    <x v="0"/>
    <n v="146.72"/>
  </r>
  <r>
    <x v="84"/>
    <s v="Supreme Hoodie"/>
    <x v="1"/>
    <x v="1"/>
    <s v="Men"/>
    <s v="Casual"/>
    <x v="0"/>
    <n v="3"/>
    <n v="242.71"/>
    <n v="728.13"/>
    <x v="1"/>
    <n v="145.626"/>
  </r>
  <r>
    <x v="85"/>
    <s v="Fear of God Essentials Tee"/>
    <x v="3"/>
    <x v="4"/>
    <s v="Women"/>
    <s v="Sportswear"/>
    <x v="4"/>
    <n v="5"/>
    <n v="145.47"/>
    <n v="727.35"/>
    <x v="0"/>
    <n v="145.47"/>
  </r>
  <r>
    <x v="13"/>
    <s v="Supreme Hoodie"/>
    <x v="1"/>
    <x v="1"/>
    <s v="Women"/>
    <s v="Casual"/>
    <x v="5"/>
    <n v="3"/>
    <n v="239.76"/>
    <n v="719.28"/>
    <x v="0"/>
    <n v="143.85599999999999"/>
  </r>
  <r>
    <x v="69"/>
    <s v="Yeezy Boost 350"/>
    <x v="0"/>
    <x v="3"/>
    <s v="Men"/>
    <s v="Sportswear"/>
    <x v="1"/>
    <n v="3"/>
    <n v="239.55"/>
    <n v="718.65"/>
    <x v="0"/>
    <n v="143.72999999999999"/>
  </r>
  <r>
    <x v="86"/>
    <s v="Fear of God Essentials Tee"/>
    <x v="3"/>
    <x v="4"/>
    <s v="Unisex"/>
    <s v="Limited Edition"/>
    <x v="4"/>
    <n v="5"/>
    <n v="141.82"/>
    <n v="709.1"/>
    <x v="0"/>
    <n v="141.82000000000002"/>
  </r>
  <r>
    <x v="87"/>
    <s v="Off-White Hoodie"/>
    <x v="1"/>
    <x v="5"/>
    <s v="Men"/>
    <s v="Sportswear"/>
    <x v="2"/>
    <n v="3"/>
    <n v="236.05"/>
    <n v="708.15"/>
    <x v="3"/>
    <n v="141.63"/>
  </r>
  <r>
    <x v="88"/>
    <s v="Jordan 1 High"/>
    <x v="0"/>
    <x v="0"/>
    <s v="Women"/>
    <s v="Sportswear"/>
    <x v="5"/>
    <n v="3"/>
    <n v="235.36"/>
    <n v="706.08"/>
    <x v="2"/>
    <n v="141.21600000000001"/>
  </r>
  <r>
    <x v="21"/>
    <s v="Puma Joggers"/>
    <x v="2"/>
    <x v="2"/>
    <s v="Women"/>
    <s v="Streetwear"/>
    <x v="4"/>
    <n v="5"/>
    <n v="140.65"/>
    <n v="703.25"/>
    <x v="2"/>
    <n v="140.65"/>
  </r>
  <r>
    <x v="89"/>
    <s v="Puma Joggers"/>
    <x v="2"/>
    <x v="2"/>
    <s v="Men"/>
    <s v="Sportswear"/>
    <x v="6"/>
    <n v="5"/>
    <n v="140.26"/>
    <n v="701.3"/>
    <x v="0"/>
    <n v="140.26"/>
  </r>
  <r>
    <x v="90"/>
    <s v="Supreme Hoodie"/>
    <x v="1"/>
    <x v="1"/>
    <s v="Unisex"/>
    <s v="Sportswear"/>
    <x v="2"/>
    <n v="5"/>
    <n v="139"/>
    <n v="695"/>
    <x v="3"/>
    <n v="139"/>
  </r>
  <r>
    <x v="91"/>
    <s v="Adidas Ultraboost"/>
    <x v="0"/>
    <x v="3"/>
    <s v="Men"/>
    <s v="Streetwear"/>
    <x v="5"/>
    <n v="5"/>
    <n v="138.94999999999999"/>
    <n v="694.75"/>
    <x v="3"/>
    <n v="138.95000000000002"/>
  </r>
  <r>
    <x v="92"/>
    <s v="Jordan 1 High"/>
    <x v="0"/>
    <x v="0"/>
    <s v="Men"/>
    <s v="Limited Edition"/>
    <x v="4"/>
    <n v="4"/>
    <n v="172.68"/>
    <n v="690.72"/>
    <x v="3"/>
    <n v="138.14400000000001"/>
  </r>
  <r>
    <x v="93"/>
    <s v="Off-White Hoodie"/>
    <x v="1"/>
    <x v="5"/>
    <s v="Women"/>
    <s v="Limited Edition"/>
    <x v="2"/>
    <n v="4"/>
    <n v="172.52"/>
    <n v="690.08"/>
    <x v="3"/>
    <n v="138.01600000000002"/>
  </r>
  <r>
    <x v="51"/>
    <s v="Fear of God Essentials Tee"/>
    <x v="3"/>
    <x v="4"/>
    <s v="Unisex"/>
    <s v="Limited Edition"/>
    <x v="6"/>
    <n v="5"/>
    <n v="137.9"/>
    <n v="689.5"/>
    <x v="3"/>
    <n v="137.9"/>
  </r>
  <r>
    <x v="36"/>
    <s v="New Era Cap"/>
    <x v="4"/>
    <x v="6"/>
    <s v="Men"/>
    <s v="Casual"/>
    <x v="1"/>
    <n v="3"/>
    <n v="228.84"/>
    <n v="686.52"/>
    <x v="3"/>
    <n v="137.304"/>
  </r>
  <r>
    <x v="94"/>
    <s v="Jordan 1 High"/>
    <x v="0"/>
    <x v="0"/>
    <s v="Unisex"/>
    <s v="Casual"/>
    <x v="4"/>
    <n v="4"/>
    <n v="171.49"/>
    <n v="685.96"/>
    <x v="1"/>
    <n v="137.19200000000001"/>
  </r>
  <r>
    <x v="95"/>
    <s v="Adidas Ultraboost"/>
    <x v="0"/>
    <x v="3"/>
    <s v="Women"/>
    <s v="Casual"/>
    <x v="3"/>
    <n v="3"/>
    <n v="225.9"/>
    <n v="677.7"/>
    <x v="2"/>
    <n v="135.54000000000002"/>
  </r>
  <r>
    <x v="96"/>
    <s v="Yeezy Boost 350"/>
    <x v="0"/>
    <x v="3"/>
    <s v="Women"/>
    <s v="Casual"/>
    <x v="5"/>
    <n v="3"/>
    <n v="225.84"/>
    <n v="677.52"/>
    <x v="0"/>
    <n v="135.50399999999999"/>
  </r>
  <r>
    <x v="86"/>
    <s v="Adidas Ultraboost"/>
    <x v="0"/>
    <x v="3"/>
    <s v="Women"/>
    <s v="Sportswear"/>
    <x v="6"/>
    <n v="5"/>
    <n v="135.5"/>
    <n v="677.5"/>
    <x v="3"/>
    <n v="135.5"/>
  </r>
  <r>
    <x v="97"/>
    <s v="Nike Tech Fleece"/>
    <x v="1"/>
    <x v="0"/>
    <s v="Unisex"/>
    <s v="Streetwear"/>
    <x v="5"/>
    <n v="3"/>
    <n v="224.66"/>
    <n v="673.98"/>
    <x v="1"/>
    <n v="134.79600000000002"/>
  </r>
  <r>
    <x v="98"/>
    <s v="Nike Dunk Low"/>
    <x v="0"/>
    <x v="0"/>
    <s v="Men"/>
    <s v="Streetwear"/>
    <x v="1"/>
    <n v="4"/>
    <n v="168.01"/>
    <n v="672.04"/>
    <x v="2"/>
    <n v="134.40799999999999"/>
  </r>
  <r>
    <x v="99"/>
    <s v="Fear of God Essentials Tee"/>
    <x v="3"/>
    <x v="4"/>
    <s v="Women"/>
    <s v="Sportswear"/>
    <x v="6"/>
    <n v="5"/>
    <n v="133.74"/>
    <n v="668.7"/>
    <x v="0"/>
    <n v="133.74"/>
  </r>
  <r>
    <x v="100"/>
    <s v="Off-White Hoodie"/>
    <x v="1"/>
    <x v="5"/>
    <s v="Men"/>
    <s v="Sportswear"/>
    <x v="6"/>
    <n v="3"/>
    <n v="218.91"/>
    <n v="656.73"/>
    <x v="2"/>
    <n v="131.346"/>
  </r>
  <r>
    <x v="101"/>
    <s v="Yeezy Boost 350"/>
    <x v="0"/>
    <x v="3"/>
    <s v="Unisex"/>
    <s v="Streetwear"/>
    <x v="0"/>
    <n v="4"/>
    <n v="162.85"/>
    <n v="651.4"/>
    <x v="3"/>
    <n v="130.28"/>
  </r>
  <r>
    <x v="53"/>
    <s v="Off-White Hoodie"/>
    <x v="1"/>
    <x v="5"/>
    <s v="Unisex"/>
    <s v="Streetwear"/>
    <x v="5"/>
    <n v="3"/>
    <n v="214.68"/>
    <n v="644.04"/>
    <x v="3"/>
    <n v="128.80799999999999"/>
  </r>
  <r>
    <x v="95"/>
    <s v="Nike Dunk Low"/>
    <x v="0"/>
    <x v="0"/>
    <s v="Men"/>
    <s v="Limited Edition"/>
    <x v="0"/>
    <n v="3"/>
    <n v="213.66"/>
    <n v="640.98"/>
    <x v="0"/>
    <n v="128.196"/>
  </r>
  <r>
    <x v="102"/>
    <s v="Yeezy Boost 350"/>
    <x v="0"/>
    <x v="3"/>
    <s v="Men"/>
    <s v="Streetwear"/>
    <x v="4"/>
    <n v="4"/>
    <n v="158.82"/>
    <n v="635.28"/>
    <x v="3"/>
    <n v="127.056"/>
  </r>
  <r>
    <x v="103"/>
    <s v="Fear of God Essentials Tee"/>
    <x v="3"/>
    <x v="4"/>
    <s v="Women"/>
    <s v="Sportswear"/>
    <x v="3"/>
    <n v="3"/>
    <n v="209.89"/>
    <n v="629.66999999999996"/>
    <x v="3"/>
    <n v="125.934"/>
  </r>
  <r>
    <x v="104"/>
    <s v="Yeezy Boost 350"/>
    <x v="0"/>
    <x v="3"/>
    <s v="Unisex"/>
    <s v="Casual"/>
    <x v="0"/>
    <n v="3"/>
    <n v="209.69"/>
    <n v="629.07000000000005"/>
    <x v="2"/>
    <n v="125.81400000000002"/>
  </r>
  <r>
    <x v="105"/>
    <s v="Jordan 1 High"/>
    <x v="0"/>
    <x v="0"/>
    <s v="Women"/>
    <s v="Limited Edition"/>
    <x v="4"/>
    <n v="3"/>
    <n v="209.3"/>
    <n v="627.9"/>
    <x v="2"/>
    <n v="125.58"/>
  </r>
  <r>
    <x v="106"/>
    <s v="Off-White Hoodie"/>
    <x v="1"/>
    <x v="5"/>
    <s v="Men"/>
    <s v="Streetwear"/>
    <x v="5"/>
    <n v="3"/>
    <n v="205.62"/>
    <n v="616.86"/>
    <x v="2"/>
    <n v="123.37200000000001"/>
  </r>
  <r>
    <x v="0"/>
    <s v="Nike Tech Fleece"/>
    <x v="1"/>
    <x v="0"/>
    <s v="Unisex"/>
    <s v="Limited Edition"/>
    <x v="1"/>
    <n v="5"/>
    <n v="123.23"/>
    <n v="616.15"/>
    <x v="2"/>
    <n v="123.23"/>
  </r>
  <r>
    <x v="107"/>
    <s v="Nike Tech Fleece"/>
    <x v="1"/>
    <x v="0"/>
    <s v="Women"/>
    <s v="Limited Edition"/>
    <x v="4"/>
    <n v="4"/>
    <n v="153.56"/>
    <n v="614.24"/>
    <x v="2"/>
    <n v="122.84800000000001"/>
  </r>
  <r>
    <x v="108"/>
    <s v="Puma Joggers"/>
    <x v="2"/>
    <x v="2"/>
    <s v="Unisex"/>
    <s v="Limited Edition"/>
    <x v="2"/>
    <n v="3"/>
    <n v="203.41"/>
    <n v="610.23"/>
    <x v="0"/>
    <n v="122.04600000000001"/>
  </r>
  <r>
    <x v="109"/>
    <s v="Nike Dunk Low"/>
    <x v="0"/>
    <x v="0"/>
    <s v="Men"/>
    <s v="Sportswear"/>
    <x v="0"/>
    <n v="4"/>
    <n v="151.37"/>
    <n v="605.48"/>
    <x v="3"/>
    <n v="121.096"/>
  </r>
  <r>
    <x v="110"/>
    <s v="Nike Tech Fleece"/>
    <x v="1"/>
    <x v="0"/>
    <s v="Unisex"/>
    <s v="Limited Edition"/>
    <x v="1"/>
    <n v="3"/>
    <n v="200.92"/>
    <n v="602.76"/>
    <x v="1"/>
    <n v="120.55200000000001"/>
  </r>
  <r>
    <x v="100"/>
    <s v="Nike Tech Fleece"/>
    <x v="1"/>
    <x v="0"/>
    <s v="Women"/>
    <s v="Casual"/>
    <x v="3"/>
    <n v="5"/>
    <n v="120.55"/>
    <n v="602.75"/>
    <x v="3"/>
    <n v="120.55000000000001"/>
  </r>
  <r>
    <x v="111"/>
    <s v="Supreme Hoodie"/>
    <x v="1"/>
    <x v="1"/>
    <s v="Men"/>
    <s v="Casual"/>
    <x v="2"/>
    <n v="3"/>
    <n v="200.87"/>
    <n v="602.61"/>
    <x v="1"/>
    <n v="120.52200000000001"/>
  </r>
  <r>
    <x v="112"/>
    <s v="Jordan 1 High"/>
    <x v="0"/>
    <x v="0"/>
    <s v="Women"/>
    <s v="Streetwear"/>
    <x v="0"/>
    <n v="3"/>
    <n v="199.47"/>
    <n v="598.41"/>
    <x v="2"/>
    <n v="119.682"/>
  </r>
  <r>
    <x v="102"/>
    <s v="Nike Tech Fleece"/>
    <x v="1"/>
    <x v="0"/>
    <s v="Unisex"/>
    <s v="Sportswear"/>
    <x v="1"/>
    <n v="5"/>
    <n v="119.54"/>
    <n v="597.70000000000005"/>
    <x v="0"/>
    <n v="119.54000000000002"/>
  </r>
  <r>
    <x v="113"/>
    <s v="Yeezy Boost 350"/>
    <x v="0"/>
    <x v="3"/>
    <s v="Women"/>
    <s v="Sportswear"/>
    <x v="6"/>
    <n v="4"/>
    <n v="148.11000000000001"/>
    <n v="592.44000000000005"/>
    <x v="1"/>
    <n v="118.48800000000001"/>
  </r>
  <r>
    <x v="114"/>
    <s v="Nike Dunk Low"/>
    <x v="0"/>
    <x v="0"/>
    <s v="Women"/>
    <s v="Streetwear"/>
    <x v="4"/>
    <n v="2"/>
    <n v="294.89"/>
    <n v="589.78"/>
    <x v="2"/>
    <n v="117.956"/>
  </r>
  <r>
    <x v="115"/>
    <s v="New Era Cap"/>
    <x v="4"/>
    <x v="6"/>
    <s v="Women"/>
    <s v="Streetwear"/>
    <x v="4"/>
    <n v="4"/>
    <n v="146.09"/>
    <n v="584.36"/>
    <x v="1"/>
    <n v="116.87200000000001"/>
  </r>
  <r>
    <x v="93"/>
    <s v="Yeezy Boost 350"/>
    <x v="0"/>
    <x v="3"/>
    <s v="Women"/>
    <s v="Casual"/>
    <x v="3"/>
    <n v="4"/>
    <n v="145.88999999999999"/>
    <n v="583.55999999999995"/>
    <x v="0"/>
    <n v="116.71199999999999"/>
  </r>
  <r>
    <x v="116"/>
    <s v="Supreme Hoodie"/>
    <x v="1"/>
    <x v="1"/>
    <s v="Men"/>
    <s v="Limited Edition"/>
    <x v="1"/>
    <n v="4"/>
    <n v="145.28"/>
    <n v="581.12"/>
    <x v="0"/>
    <n v="116.224"/>
  </r>
  <r>
    <x v="117"/>
    <s v="Puma Joggers"/>
    <x v="2"/>
    <x v="2"/>
    <s v="Men"/>
    <s v="Sportswear"/>
    <x v="3"/>
    <n v="2"/>
    <n v="288.87"/>
    <n v="577.74"/>
    <x v="3"/>
    <n v="115.548"/>
  </r>
  <r>
    <x v="75"/>
    <s v="New Era Cap"/>
    <x v="4"/>
    <x v="6"/>
    <s v="Women"/>
    <s v="Sportswear"/>
    <x v="6"/>
    <n v="2"/>
    <n v="287.68"/>
    <n v="575.36"/>
    <x v="1"/>
    <n v="115.072"/>
  </r>
  <r>
    <x v="118"/>
    <s v="Nike Tech Fleece"/>
    <x v="1"/>
    <x v="0"/>
    <s v="Men"/>
    <s v="Sportswear"/>
    <x v="4"/>
    <n v="2"/>
    <n v="283.60000000000002"/>
    <n v="567.20000000000005"/>
    <x v="3"/>
    <n v="113.44000000000001"/>
  </r>
  <r>
    <x v="42"/>
    <s v="Yeezy Boost 350"/>
    <x v="0"/>
    <x v="3"/>
    <s v="Men"/>
    <s v="Casual"/>
    <x v="2"/>
    <n v="4"/>
    <n v="141.35"/>
    <n v="565.4"/>
    <x v="3"/>
    <n v="113.08"/>
  </r>
  <r>
    <x v="74"/>
    <s v="Adidas Ultraboost"/>
    <x v="0"/>
    <x v="3"/>
    <s v="Men"/>
    <s v="Streetwear"/>
    <x v="3"/>
    <n v="5"/>
    <n v="112.95"/>
    <n v="564.75"/>
    <x v="0"/>
    <n v="112.95"/>
  </r>
  <r>
    <x v="119"/>
    <s v="Puma Joggers"/>
    <x v="2"/>
    <x v="2"/>
    <s v="Women"/>
    <s v="Streetwear"/>
    <x v="2"/>
    <n v="5"/>
    <n v="112.4"/>
    <n v="562"/>
    <x v="2"/>
    <n v="112.4"/>
  </r>
  <r>
    <x v="88"/>
    <s v="Yeezy Boost 350"/>
    <x v="0"/>
    <x v="3"/>
    <s v="Men"/>
    <s v="Streetwear"/>
    <x v="5"/>
    <n v="5"/>
    <n v="112.04"/>
    <n v="560.20000000000005"/>
    <x v="2"/>
    <n v="112.04000000000002"/>
  </r>
  <r>
    <x v="120"/>
    <s v="Adidas Ultraboost"/>
    <x v="0"/>
    <x v="3"/>
    <s v="Men"/>
    <s v="Streetwear"/>
    <x v="3"/>
    <n v="2"/>
    <n v="277.48"/>
    <n v="554.96"/>
    <x v="0"/>
    <n v="110.99200000000002"/>
  </r>
  <r>
    <x v="7"/>
    <s v="Yeezy Boost 350"/>
    <x v="0"/>
    <x v="3"/>
    <s v="Women"/>
    <s v="Limited Edition"/>
    <x v="6"/>
    <n v="2"/>
    <n v="277.26"/>
    <n v="554.52"/>
    <x v="3"/>
    <n v="110.904"/>
  </r>
  <r>
    <x v="121"/>
    <s v="Supreme Hoodie"/>
    <x v="1"/>
    <x v="1"/>
    <s v="Men"/>
    <s v="Sportswear"/>
    <x v="6"/>
    <n v="5"/>
    <n v="110.05"/>
    <n v="550.25"/>
    <x v="0"/>
    <n v="110.05000000000001"/>
  </r>
  <r>
    <x v="84"/>
    <s v="Jordan 1 High"/>
    <x v="0"/>
    <x v="0"/>
    <s v="Women"/>
    <s v="Limited Edition"/>
    <x v="6"/>
    <n v="3"/>
    <n v="182.2"/>
    <n v="546.6"/>
    <x v="0"/>
    <n v="109.32000000000001"/>
  </r>
  <r>
    <x v="122"/>
    <s v="New Era Cap"/>
    <x v="4"/>
    <x v="6"/>
    <s v="Unisex"/>
    <s v="Limited Edition"/>
    <x v="2"/>
    <n v="4"/>
    <n v="135.07"/>
    <n v="540.28"/>
    <x v="1"/>
    <n v="108.056"/>
  </r>
  <r>
    <x v="117"/>
    <s v="Nike Tech Fleece"/>
    <x v="1"/>
    <x v="0"/>
    <s v="Women"/>
    <s v="Limited Edition"/>
    <x v="0"/>
    <n v="2"/>
    <n v="269.88"/>
    <n v="539.76"/>
    <x v="1"/>
    <n v="107.952"/>
  </r>
  <r>
    <x v="57"/>
    <s v="Puma Joggers"/>
    <x v="2"/>
    <x v="2"/>
    <s v="Women"/>
    <s v="Limited Edition"/>
    <x v="4"/>
    <n v="2"/>
    <n v="267.42"/>
    <n v="534.84"/>
    <x v="1"/>
    <n v="106.96800000000002"/>
  </r>
  <r>
    <x v="102"/>
    <s v="Supreme Hoodie"/>
    <x v="1"/>
    <x v="1"/>
    <s v="Unisex"/>
    <s v="Casual"/>
    <x v="1"/>
    <n v="4"/>
    <n v="133.69999999999999"/>
    <n v="534.79999999999995"/>
    <x v="3"/>
    <n v="106.96"/>
  </r>
  <r>
    <x v="123"/>
    <s v="Yeezy Boost 350"/>
    <x v="0"/>
    <x v="3"/>
    <s v="Unisex"/>
    <s v="Streetwear"/>
    <x v="0"/>
    <n v="2"/>
    <n v="267.33999999999997"/>
    <n v="534.67999999999995"/>
    <x v="1"/>
    <n v="106.93599999999999"/>
  </r>
  <r>
    <x v="124"/>
    <s v="Jordan 1 High"/>
    <x v="0"/>
    <x v="0"/>
    <s v="Men"/>
    <s v="Streetwear"/>
    <x v="0"/>
    <n v="4"/>
    <n v="130.97"/>
    <n v="523.88"/>
    <x v="0"/>
    <n v="104.77600000000001"/>
  </r>
  <r>
    <x v="125"/>
    <s v="Adidas Ultraboost"/>
    <x v="0"/>
    <x v="3"/>
    <s v="Unisex"/>
    <s v="Streetwear"/>
    <x v="3"/>
    <n v="4"/>
    <n v="129.94999999999999"/>
    <n v="519.79999999999995"/>
    <x v="1"/>
    <n v="103.96"/>
  </r>
  <r>
    <x v="86"/>
    <s v="Puma Joggers"/>
    <x v="2"/>
    <x v="2"/>
    <s v="Women"/>
    <s v="Sportswear"/>
    <x v="3"/>
    <n v="2"/>
    <n v="259.66000000000003"/>
    <n v="519.32000000000005"/>
    <x v="2"/>
    <n v="103.86400000000002"/>
  </r>
  <r>
    <x v="19"/>
    <s v="Nike Tech Fleece"/>
    <x v="1"/>
    <x v="0"/>
    <s v="Women"/>
    <s v="Sportswear"/>
    <x v="4"/>
    <n v="2"/>
    <n v="259.45999999999998"/>
    <n v="518.91999999999996"/>
    <x v="2"/>
    <n v="103.78399999999999"/>
  </r>
  <r>
    <x v="126"/>
    <s v="Nike Tech Fleece"/>
    <x v="1"/>
    <x v="0"/>
    <s v="Women"/>
    <s v="Limited Edition"/>
    <x v="5"/>
    <n v="3"/>
    <n v="172.37"/>
    <n v="517.11"/>
    <x v="0"/>
    <n v="103.42200000000001"/>
  </r>
  <r>
    <x v="127"/>
    <s v="Supreme Hoodie"/>
    <x v="1"/>
    <x v="1"/>
    <s v="Men"/>
    <s v="Streetwear"/>
    <x v="0"/>
    <n v="2"/>
    <n v="257.5"/>
    <n v="515"/>
    <x v="3"/>
    <n v="103"/>
  </r>
  <r>
    <x v="110"/>
    <s v="Yeezy Boost 350"/>
    <x v="0"/>
    <x v="3"/>
    <s v="Women"/>
    <s v="Limited Edition"/>
    <x v="3"/>
    <n v="4"/>
    <n v="127.55"/>
    <n v="510.2"/>
    <x v="1"/>
    <n v="102.04"/>
  </r>
  <r>
    <x v="113"/>
    <s v="Yeezy Boost 350"/>
    <x v="0"/>
    <x v="3"/>
    <s v="Men"/>
    <s v="Sportswear"/>
    <x v="6"/>
    <n v="4"/>
    <n v="127.11"/>
    <n v="508.44"/>
    <x v="1"/>
    <n v="101.688"/>
  </r>
  <r>
    <x v="128"/>
    <s v="Off-White Hoodie"/>
    <x v="1"/>
    <x v="5"/>
    <s v="Men"/>
    <s v="Sportswear"/>
    <x v="3"/>
    <n v="5"/>
    <n v="100.65"/>
    <n v="503.25"/>
    <x v="2"/>
    <n v="100.65"/>
  </r>
  <r>
    <x v="76"/>
    <s v="Fear of God Essentials Tee"/>
    <x v="3"/>
    <x v="4"/>
    <s v="Women"/>
    <s v="Sportswear"/>
    <x v="2"/>
    <n v="3"/>
    <n v="167.36"/>
    <n v="502.08"/>
    <x v="3"/>
    <n v="100.416"/>
  </r>
  <r>
    <x v="129"/>
    <s v="Nike Tech Fleece"/>
    <x v="1"/>
    <x v="0"/>
    <s v="Women"/>
    <s v="Limited Edition"/>
    <x v="2"/>
    <n v="5"/>
    <n v="99.89"/>
    <n v="499.45"/>
    <x v="1"/>
    <n v="99.89"/>
  </r>
  <r>
    <x v="107"/>
    <s v="Puma Joggers"/>
    <x v="2"/>
    <x v="2"/>
    <s v="Unisex"/>
    <s v="Limited Edition"/>
    <x v="4"/>
    <n v="2"/>
    <n v="249.49"/>
    <n v="498.98"/>
    <x v="1"/>
    <n v="99.796000000000006"/>
  </r>
  <r>
    <x v="67"/>
    <s v="Jordan 1 High"/>
    <x v="0"/>
    <x v="0"/>
    <s v="Unisex"/>
    <s v="Casual"/>
    <x v="5"/>
    <n v="4"/>
    <n v="124.4"/>
    <n v="497.6"/>
    <x v="2"/>
    <n v="99.52000000000001"/>
  </r>
  <r>
    <x v="130"/>
    <s v="Yeezy Boost 350"/>
    <x v="0"/>
    <x v="3"/>
    <s v="Unisex"/>
    <s v="Sportswear"/>
    <x v="5"/>
    <n v="2"/>
    <n v="248.44"/>
    <n v="496.88"/>
    <x v="1"/>
    <n v="99.376000000000005"/>
  </r>
  <r>
    <x v="82"/>
    <s v="Fear of God Essentials Tee"/>
    <x v="3"/>
    <x v="4"/>
    <s v="Men"/>
    <s v="Casual"/>
    <x v="5"/>
    <n v="2"/>
    <n v="247.2"/>
    <n v="494.4"/>
    <x v="3"/>
    <n v="98.88"/>
  </r>
  <r>
    <x v="111"/>
    <s v="Adidas Ultraboost"/>
    <x v="0"/>
    <x v="3"/>
    <s v="Women"/>
    <s v="Streetwear"/>
    <x v="5"/>
    <n v="3"/>
    <n v="164.06"/>
    <n v="492.18"/>
    <x v="3"/>
    <n v="98.436000000000007"/>
  </r>
  <r>
    <x v="104"/>
    <s v="Adidas Ultraboost"/>
    <x v="0"/>
    <x v="3"/>
    <s v="Men"/>
    <s v="Limited Edition"/>
    <x v="4"/>
    <n v="5"/>
    <n v="98.23"/>
    <n v="491.15"/>
    <x v="1"/>
    <n v="98.23"/>
  </r>
  <r>
    <x v="131"/>
    <s v="Nike Tech Fleece"/>
    <x v="1"/>
    <x v="0"/>
    <s v="Women"/>
    <s v="Streetwear"/>
    <x v="6"/>
    <n v="2"/>
    <n v="244.13"/>
    <n v="488.26"/>
    <x v="1"/>
    <n v="97.652000000000001"/>
  </r>
  <r>
    <x v="83"/>
    <s v="Puma Joggers"/>
    <x v="2"/>
    <x v="2"/>
    <s v="Men"/>
    <s v="Streetwear"/>
    <x v="4"/>
    <n v="4"/>
    <n v="121.9"/>
    <n v="487.6"/>
    <x v="0"/>
    <n v="97.52000000000001"/>
  </r>
  <r>
    <x v="66"/>
    <s v="Off-White Hoodie"/>
    <x v="1"/>
    <x v="5"/>
    <s v="Men"/>
    <s v="Streetwear"/>
    <x v="4"/>
    <n v="3"/>
    <n v="162.36000000000001"/>
    <n v="487.08"/>
    <x v="2"/>
    <n v="97.415999999999997"/>
  </r>
  <r>
    <x v="132"/>
    <s v="Jordan 1 High"/>
    <x v="0"/>
    <x v="0"/>
    <s v="Unisex"/>
    <s v="Casual"/>
    <x v="3"/>
    <n v="4"/>
    <n v="121.42"/>
    <n v="485.68"/>
    <x v="0"/>
    <n v="97.13600000000001"/>
  </r>
  <r>
    <x v="3"/>
    <s v="Off-White Hoodie"/>
    <x v="1"/>
    <x v="5"/>
    <s v="Women"/>
    <s v="Limited Edition"/>
    <x v="3"/>
    <n v="3"/>
    <n v="161.55000000000001"/>
    <n v="484.65"/>
    <x v="3"/>
    <n v="96.93"/>
  </r>
  <r>
    <x v="133"/>
    <s v="Supreme Hoodie"/>
    <x v="1"/>
    <x v="1"/>
    <s v="Women"/>
    <s v="Casual"/>
    <x v="1"/>
    <n v="2"/>
    <n v="240.23"/>
    <n v="480.46"/>
    <x v="1"/>
    <n v="96.091999999999999"/>
  </r>
  <r>
    <x v="5"/>
    <s v="Jordan 1 High"/>
    <x v="0"/>
    <x v="0"/>
    <s v="Unisex"/>
    <s v="Limited Edition"/>
    <x v="6"/>
    <n v="4"/>
    <n v="119.36"/>
    <n v="477.44"/>
    <x v="1"/>
    <n v="95.488"/>
  </r>
  <r>
    <x v="134"/>
    <s v="Off-White Hoodie"/>
    <x v="1"/>
    <x v="5"/>
    <s v="Men"/>
    <s v="Casual"/>
    <x v="5"/>
    <n v="2"/>
    <n v="237.1"/>
    <n v="474.2"/>
    <x v="1"/>
    <n v="94.84"/>
  </r>
  <r>
    <x v="85"/>
    <s v="Jordan 1 High"/>
    <x v="0"/>
    <x v="0"/>
    <s v="Men"/>
    <s v="Casual"/>
    <x v="2"/>
    <n v="5"/>
    <n v="94.25"/>
    <n v="471.25"/>
    <x v="2"/>
    <n v="94.25"/>
  </r>
  <r>
    <x v="40"/>
    <s v="Adidas Ultraboost"/>
    <x v="0"/>
    <x v="3"/>
    <s v="Women"/>
    <s v="Limited Edition"/>
    <x v="5"/>
    <n v="4"/>
    <n v="117.78"/>
    <n v="471.12"/>
    <x v="3"/>
    <n v="94.224000000000004"/>
  </r>
  <r>
    <x v="4"/>
    <s v="Nike Dunk Low"/>
    <x v="0"/>
    <x v="0"/>
    <s v="Unisex"/>
    <s v="Streetwear"/>
    <x v="5"/>
    <n v="3"/>
    <n v="156.27000000000001"/>
    <n v="468.81"/>
    <x v="3"/>
    <n v="93.762"/>
  </r>
  <r>
    <x v="95"/>
    <s v="Nike Tech Fleece"/>
    <x v="1"/>
    <x v="0"/>
    <s v="Men"/>
    <s v="Casual"/>
    <x v="1"/>
    <n v="3"/>
    <n v="156.22"/>
    <n v="468.66"/>
    <x v="2"/>
    <n v="93.732000000000014"/>
  </r>
  <r>
    <x v="135"/>
    <s v="Supreme Hoodie"/>
    <x v="1"/>
    <x v="1"/>
    <s v="Women"/>
    <s v="Streetwear"/>
    <x v="2"/>
    <n v="3"/>
    <n v="154.79"/>
    <n v="464.37"/>
    <x v="0"/>
    <n v="92.874000000000009"/>
  </r>
  <r>
    <x v="29"/>
    <s v="Fear of God Essentials Tee"/>
    <x v="3"/>
    <x v="4"/>
    <s v="Women"/>
    <s v="Streetwear"/>
    <x v="6"/>
    <n v="3"/>
    <n v="153.82"/>
    <n v="461.46"/>
    <x v="1"/>
    <n v="92.292000000000002"/>
  </r>
  <r>
    <x v="115"/>
    <s v="Off-White Hoodie"/>
    <x v="1"/>
    <x v="5"/>
    <s v="Women"/>
    <s v="Sportswear"/>
    <x v="6"/>
    <n v="5"/>
    <n v="91.11"/>
    <n v="455.55"/>
    <x v="1"/>
    <n v="91.110000000000014"/>
  </r>
  <r>
    <x v="52"/>
    <s v="Yeezy Boost 350"/>
    <x v="0"/>
    <x v="3"/>
    <s v="Men"/>
    <s v="Limited Edition"/>
    <x v="3"/>
    <n v="4"/>
    <n v="113.75"/>
    <n v="455"/>
    <x v="2"/>
    <n v="91"/>
  </r>
  <r>
    <x v="66"/>
    <s v="Off-White Hoodie"/>
    <x v="1"/>
    <x v="5"/>
    <s v="Men"/>
    <s v="Sportswear"/>
    <x v="5"/>
    <n v="5"/>
    <n v="89.84"/>
    <n v="449.2"/>
    <x v="2"/>
    <n v="89.84"/>
  </r>
  <r>
    <x v="136"/>
    <s v="Supreme Hoodie"/>
    <x v="1"/>
    <x v="1"/>
    <s v="Men"/>
    <s v="Streetwear"/>
    <x v="4"/>
    <n v="3"/>
    <n v="149.51"/>
    <n v="448.53"/>
    <x v="1"/>
    <n v="89.706000000000003"/>
  </r>
  <r>
    <x v="137"/>
    <s v="Adidas Ultraboost"/>
    <x v="0"/>
    <x v="3"/>
    <s v="Men"/>
    <s v="Streetwear"/>
    <x v="1"/>
    <n v="2"/>
    <n v="223"/>
    <n v="446"/>
    <x v="1"/>
    <n v="89.2"/>
  </r>
  <r>
    <x v="45"/>
    <s v="Fear of God Essentials Tee"/>
    <x v="3"/>
    <x v="4"/>
    <s v="Men"/>
    <s v="Streetwear"/>
    <x v="4"/>
    <n v="2"/>
    <n v="222.08"/>
    <n v="444.16"/>
    <x v="3"/>
    <n v="88.832000000000008"/>
  </r>
  <r>
    <x v="138"/>
    <s v="Nike Tech Fleece"/>
    <x v="1"/>
    <x v="0"/>
    <s v="Women"/>
    <s v="Sportswear"/>
    <x v="6"/>
    <n v="2"/>
    <n v="218.25"/>
    <n v="436.5"/>
    <x v="2"/>
    <n v="87.300000000000011"/>
  </r>
  <r>
    <x v="84"/>
    <s v="Nike Dunk Low"/>
    <x v="0"/>
    <x v="0"/>
    <s v="Women"/>
    <s v="Limited Edition"/>
    <x v="5"/>
    <n v="2"/>
    <n v="216.83"/>
    <n v="433.66"/>
    <x v="3"/>
    <n v="86.732000000000014"/>
  </r>
  <r>
    <x v="85"/>
    <s v="New Era Cap"/>
    <x v="4"/>
    <x v="6"/>
    <s v="Men"/>
    <s v="Limited Edition"/>
    <x v="6"/>
    <n v="4"/>
    <n v="107.31"/>
    <n v="429.24"/>
    <x v="3"/>
    <n v="85.848000000000013"/>
  </r>
  <r>
    <x v="92"/>
    <s v="Puma Joggers"/>
    <x v="2"/>
    <x v="2"/>
    <s v="Unisex"/>
    <s v="Streetwear"/>
    <x v="1"/>
    <n v="2"/>
    <n v="212.76"/>
    <n v="425.52"/>
    <x v="2"/>
    <n v="85.103999999999999"/>
  </r>
  <r>
    <x v="11"/>
    <s v="Puma Joggers"/>
    <x v="2"/>
    <x v="2"/>
    <s v="Women"/>
    <s v="Casual"/>
    <x v="4"/>
    <n v="5"/>
    <n v="85.1"/>
    <n v="425.5"/>
    <x v="1"/>
    <n v="85.100000000000009"/>
  </r>
  <r>
    <x v="139"/>
    <s v="Puma Joggers"/>
    <x v="2"/>
    <x v="2"/>
    <s v="Unisex"/>
    <s v="Streetwear"/>
    <x v="5"/>
    <n v="2"/>
    <n v="210.77"/>
    <n v="421.54"/>
    <x v="0"/>
    <n v="84.308000000000007"/>
  </r>
  <r>
    <x v="23"/>
    <s v="Yeezy Boost 350"/>
    <x v="0"/>
    <x v="3"/>
    <s v="Unisex"/>
    <s v="Streetwear"/>
    <x v="3"/>
    <n v="2"/>
    <n v="209.81"/>
    <n v="419.62"/>
    <x v="0"/>
    <n v="83.924000000000007"/>
  </r>
  <r>
    <x v="35"/>
    <s v="Jordan 1 High"/>
    <x v="0"/>
    <x v="0"/>
    <s v="Unisex"/>
    <s v="Sportswear"/>
    <x v="2"/>
    <n v="5"/>
    <n v="81.97"/>
    <n v="409.85"/>
    <x v="1"/>
    <n v="81.970000000000013"/>
  </r>
  <r>
    <x v="97"/>
    <s v="New Era Cap"/>
    <x v="4"/>
    <x v="6"/>
    <s v="Men"/>
    <s v="Casual"/>
    <x v="2"/>
    <n v="3"/>
    <n v="136.36000000000001"/>
    <n v="409.08"/>
    <x v="0"/>
    <n v="81.816000000000003"/>
  </r>
  <r>
    <x v="130"/>
    <s v="Nike Dunk Low"/>
    <x v="0"/>
    <x v="0"/>
    <s v="Women"/>
    <s v="Sportswear"/>
    <x v="0"/>
    <n v="2"/>
    <n v="203.05"/>
    <n v="406.1"/>
    <x v="1"/>
    <n v="81.220000000000013"/>
  </r>
  <r>
    <x v="117"/>
    <s v="New Era Cap"/>
    <x v="4"/>
    <x v="6"/>
    <s v="Women"/>
    <s v="Casual"/>
    <x v="4"/>
    <n v="2"/>
    <n v="202.18"/>
    <n v="404.36"/>
    <x v="3"/>
    <n v="80.872000000000014"/>
  </r>
  <r>
    <x v="83"/>
    <s v="Nike Tech Fleece"/>
    <x v="1"/>
    <x v="0"/>
    <s v="Men"/>
    <s v="Limited Edition"/>
    <x v="6"/>
    <n v="2"/>
    <n v="195.85"/>
    <n v="391.7"/>
    <x v="2"/>
    <n v="78.34"/>
  </r>
  <r>
    <x v="140"/>
    <s v="New Era Cap"/>
    <x v="4"/>
    <x v="6"/>
    <s v="Unisex"/>
    <s v="Streetwear"/>
    <x v="1"/>
    <n v="2"/>
    <n v="195.41"/>
    <n v="390.82"/>
    <x v="0"/>
    <n v="78.164000000000001"/>
  </r>
  <r>
    <x v="93"/>
    <s v="Nike Tech Fleece"/>
    <x v="1"/>
    <x v="0"/>
    <s v="Men"/>
    <s v="Sportswear"/>
    <x v="1"/>
    <n v="3"/>
    <n v="129.78"/>
    <n v="389.34"/>
    <x v="0"/>
    <n v="77.867999999999995"/>
  </r>
  <r>
    <x v="141"/>
    <s v="Puma Joggers"/>
    <x v="2"/>
    <x v="2"/>
    <s v="Men"/>
    <s v="Limited Edition"/>
    <x v="4"/>
    <n v="2"/>
    <n v="194.31"/>
    <n v="388.62"/>
    <x v="3"/>
    <n v="77.724000000000004"/>
  </r>
  <r>
    <x v="142"/>
    <s v="New Era Cap"/>
    <x v="4"/>
    <x v="6"/>
    <s v="Men"/>
    <s v="Casual"/>
    <x v="6"/>
    <n v="5"/>
    <n v="77.08"/>
    <n v="385.4"/>
    <x v="2"/>
    <n v="77.08"/>
  </r>
  <r>
    <x v="127"/>
    <s v="Puma Joggers"/>
    <x v="2"/>
    <x v="2"/>
    <s v="Men"/>
    <s v="Casual"/>
    <x v="4"/>
    <n v="3"/>
    <n v="127.36"/>
    <n v="382.08"/>
    <x v="0"/>
    <n v="76.415999999999997"/>
  </r>
  <r>
    <x v="143"/>
    <s v="Jordan 1 High"/>
    <x v="0"/>
    <x v="0"/>
    <s v="Women"/>
    <s v="Casual"/>
    <x v="6"/>
    <n v="2"/>
    <n v="188.4"/>
    <n v="376.8"/>
    <x v="0"/>
    <n v="75.36"/>
  </r>
  <r>
    <x v="144"/>
    <s v="New Era Cap"/>
    <x v="4"/>
    <x v="6"/>
    <s v="Women"/>
    <s v="Limited Edition"/>
    <x v="6"/>
    <n v="3"/>
    <n v="125.26"/>
    <n v="375.78"/>
    <x v="2"/>
    <n v="75.155999999999992"/>
  </r>
  <r>
    <x v="145"/>
    <s v="Jordan 1 High"/>
    <x v="0"/>
    <x v="0"/>
    <s v="Women"/>
    <s v="Casual"/>
    <x v="3"/>
    <n v="2"/>
    <n v="184.51"/>
    <n v="369.02"/>
    <x v="1"/>
    <n v="73.804000000000002"/>
  </r>
  <r>
    <x v="57"/>
    <s v="Fear of God Essentials Tee"/>
    <x v="3"/>
    <x v="4"/>
    <s v="Unisex"/>
    <s v="Casual"/>
    <x v="6"/>
    <n v="5"/>
    <n v="73.58"/>
    <n v="367.9"/>
    <x v="3"/>
    <n v="73.58"/>
  </r>
  <r>
    <x v="140"/>
    <s v="Off-White Hoodie"/>
    <x v="1"/>
    <x v="5"/>
    <s v="Unisex"/>
    <s v="Casual"/>
    <x v="6"/>
    <n v="2"/>
    <n v="183.29"/>
    <n v="366.58"/>
    <x v="2"/>
    <n v="73.316000000000003"/>
  </r>
  <r>
    <x v="88"/>
    <s v="Nike Tech Fleece"/>
    <x v="1"/>
    <x v="0"/>
    <s v="Unisex"/>
    <s v="Streetwear"/>
    <x v="0"/>
    <n v="2"/>
    <n v="179.28"/>
    <n v="358.56"/>
    <x v="1"/>
    <n v="71.712000000000003"/>
  </r>
  <r>
    <x v="98"/>
    <s v="Nike Tech Fleece"/>
    <x v="1"/>
    <x v="0"/>
    <s v="Men"/>
    <s v="Sportswear"/>
    <x v="4"/>
    <n v="5"/>
    <n v="71.28"/>
    <n v="356.4"/>
    <x v="1"/>
    <n v="71.28"/>
  </r>
  <r>
    <x v="146"/>
    <s v="Adidas Ultraboost"/>
    <x v="0"/>
    <x v="3"/>
    <s v="Men"/>
    <s v="Casual"/>
    <x v="5"/>
    <n v="5"/>
    <n v="71.260000000000005"/>
    <n v="356.3"/>
    <x v="1"/>
    <n v="71.260000000000005"/>
  </r>
  <r>
    <x v="126"/>
    <s v="Nike Dunk Low"/>
    <x v="0"/>
    <x v="0"/>
    <s v="Men"/>
    <s v="Casual"/>
    <x v="4"/>
    <n v="3"/>
    <n v="118.37"/>
    <n v="355.11"/>
    <x v="0"/>
    <n v="71.022000000000006"/>
  </r>
  <r>
    <x v="145"/>
    <s v="Puma Joggers"/>
    <x v="2"/>
    <x v="2"/>
    <s v="Men"/>
    <s v="Casual"/>
    <x v="3"/>
    <n v="2"/>
    <n v="176.24"/>
    <n v="352.48"/>
    <x v="1"/>
    <n v="70.496000000000009"/>
  </r>
  <r>
    <x v="83"/>
    <s v="Puma Joggers"/>
    <x v="2"/>
    <x v="2"/>
    <s v="Women"/>
    <s v="Casual"/>
    <x v="0"/>
    <n v="2"/>
    <n v="175.51"/>
    <n v="351.02"/>
    <x v="3"/>
    <n v="70.203999999999994"/>
  </r>
  <r>
    <x v="18"/>
    <s v="Yeezy Boost 350"/>
    <x v="0"/>
    <x v="3"/>
    <s v="Unisex"/>
    <s v="Limited Edition"/>
    <x v="3"/>
    <n v="2"/>
    <n v="175"/>
    <n v="350"/>
    <x v="0"/>
    <n v="70"/>
  </r>
  <r>
    <x v="132"/>
    <s v="Nike Tech Fleece"/>
    <x v="1"/>
    <x v="0"/>
    <s v="Men"/>
    <s v="Streetwear"/>
    <x v="6"/>
    <n v="4"/>
    <n v="86.13"/>
    <n v="344.52"/>
    <x v="3"/>
    <n v="68.903999999999996"/>
  </r>
  <r>
    <x v="65"/>
    <s v="Supreme Hoodie"/>
    <x v="1"/>
    <x v="1"/>
    <s v="Men"/>
    <s v="Streetwear"/>
    <x v="1"/>
    <n v="3"/>
    <n v="114.29"/>
    <n v="342.87"/>
    <x v="3"/>
    <n v="68.573999999999998"/>
  </r>
  <r>
    <x v="147"/>
    <s v="Puma Joggers"/>
    <x v="2"/>
    <x v="2"/>
    <s v="Unisex"/>
    <s v="Limited Edition"/>
    <x v="5"/>
    <n v="5"/>
    <n v="68.52"/>
    <n v="342.6"/>
    <x v="3"/>
    <n v="68.52000000000001"/>
  </r>
  <r>
    <x v="60"/>
    <s v="New Era Cap"/>
    <x v="4"/>
    <x v="6"/>
    <s v="Men"/>
    <s v="Streetwear"/>
    <x v="5"/>
    <n v="3"/>
    <n v="112.98"/>
    <n v="338.94"/>
    <x v="2"/>
    <n v="67.787999999999997"/>
  </r>
  <r>
    <x v="67"/>
    <s v="Puma Joggers"/>
    <x v="2"/>
    <x v="2"/>
    <s v="Women"/>
    <s v="Limited Edition"/>
    <x v="3"/>
    <n v="3"/>
    <n v="110.78"/>
    <n v="332.34"/>
    <x v="1"/>
    <n v="66.468000000000004"/>
  </r>
  <r>
    <x v="57"/>
    <s v="Off-White Hoodie"/>
    <x v="1"/>
    <x v="5"/>
    <s v="Women"/>
    <s v="Casual"/>
    <x v="0"/>
    <n v="3"/>
    <n v="110.2"/>
    <n v="330.6"/>
    <x v="0"/>
    <n v="66.12"/>
  </r>
  <r>
    <x v="148"/>
    <s v="Off-White Hoodie"/>
    <x v="1"/>
    <x v="5"/>
    <s v="Men"/>
    <s v="Streetwear"/>
    <x v="5"/>
    <n v="2"/>
    <n v="163.32"/>
    <n v="326.64"/>
    <x v="3"/>
    <n v="65.328000000000003"/>
  </r>
  <r>
    <x v="38"/>
    <s v="Puma Joggers"/>
    <x v="2"/>
    <x v="2"/>
    <s v="Unisex"/>
    <s v="Limited Edition"/>
    <x v="1"/>
    <n v="2"/>
    <n v="162.47999999999999"/>
    <n v="324.95999999999998"/>
    <x v="1"/>
    <n v="64.992000000000004"/>
  </r>
  <r>
    <x v="110"/>
    <s v="Nike Dunk Low"/>
    <x v="0"/>
    <x v="0"/>
    <s v="Women"/>
    <s v="Casual"/>
    <x v="6"/>
    <n v="5"/>
    <n v="64.66"/>
    <n v="323.3"/>
    <x v="0"/>
    <n v="64.660000000000011"/>
  </r>
  <r>
    <x v="50"/>
    <s v="Adidas Ultraboost"/>
    <x v="0"/>
    <x v="3"/>
    <s v="Men"/>
    <s v="Casual"/>
    <x v="4"/>
    <n v="2"/>
    <n v="160.44"/>
    <n v="320.88"/>
    <x v="3"/>
    <n v="64.176000000000002"/>
  </r>
  <r>
    <x v="6"/>
    <s v="Fear of God Essentials Tee"/>
    <x v="3"/>
    <x v="4"/>
    <s v="Men"/>
    <s v="Casual"/>
    <x v="2"/>
    <n v="2"/>
    <n v="158.69999999999999"/>
    <n v="317.39999999999998"/>
    <x v="2"/>
    <n v="63.48"/>
  </r>
  <r>
    <x v="149"/>
    <s v="Adidas Ultraboost"/>
    <x v="0"/>
    <x v="3"/>
    <s v="Men"/>
    <s v="Streetwear"/>
    <x v="3"/>
    <n v="3"/>
    <n v="105.79"/>
    <n v="317.37"/>
    <x v="2"/>
    <n v="63.474000000000004"/>
  </r>
  <r>
    <x v="118"/>
    <s v="Supreme Hoodie"/>
    <x v="1"/>
    <x v="1"/>
    <s v="Men"/>
    <s v="Casual"/>
    <x v="6"/>
    <n v="2"/>
    <n v="157.12"/>
    <n v="314.24"/>
    <x v="0"/>
    <n v="62.848000000000006"/>
  </r>
  <r>
    <x v="52"/>
    <s v="Jordan 1 High"/>
    <x v="0"/>
    <x v="0"/>
    <s v="Unisex"/>
    <s v="Limited Edition"/>
    <x v="2"/>
    <n v="3"/>
    <n v="104.04"/>
    <n v="312.12"/>
    <x v="1"/>
    <n v="62.424000000000007"/>
  </r>
  <r>
    <x v="150"/>
    <s v="Nike Tech Fleece"/>
    <x v="1"/>
    <x v="0"/>
    <s v="Unisex"/>
    <s v="Streetwear"/>
    <x v="5"/>
    <n v="2"/>
    <n v="153.75"/>
    <n v="307.5"/>
    <x v="1"/>
    <n v="61.5"/>
  </r>
  <r>
    <x v="151"/>
    <s v="New Era Cap"/>
    <x v="4"/>
    <x v="6"/>
    <s v="Women"/>
    <s v="Streetwear"/>
    <x v="0"/>
    <n v="2"/>
    <n v="152.54"/>
    <n v="305.08"/>
    <x v="0"/>
    <n v="61.015999999999998"/>
  </r>
  <r>
    <x v="152"/>
    <s v="Adidas Ultraboost"/>
    <x v="0"/>
    <x v="3"/>
    <s v="Men"/>
    <s v="Limited Edition"/>
    <x v="0"/>
    <n v="3"/>
    <n v="101.39"/>
    <n v="304.17"/>
    <x v="1"/>
    <n v="60.834000000000003"/>
  </r>
  <r>
    <x v="54"/>
    <s v="Supreme Hoodie"/>
    <x v="1"/>
    <x v="1"/>
    <s v="Women"/>
    <s v="Sportswear"/>
    <x v="3"/>
    <n v="1"/>
    <n v="296.56"/>
    <n v="296.56"/>
    <x v="3"/>
    <n v="59.312000000000005"/>
  </r>
  <r>
    <x v="153"/>
    <s v="Yeezy Boost 350"/>
    <x v="0"/>
    <x v="3"/>
    <s v="Women"/>
    <s v="Sportswear"/>
    <x v="3"/>
    <n v="1"/>
    <n v="296.51"/>
    <n v="296.51"/>
    <x v="2"/>
    <n v="59.302"/>
  </r>
  <r>
    <x v="111"/>
    <s v="Supreme Hoodie"/>
    <x v="1"/>
    <x v="1"/>
    <s v="Unisex"/>
    <s v="Sportswear"/>
    <x v="5"/>
    <n v="5"/>
    <n v="58.65"/>
    <n v="293.25"/>
    <x v="3"/>
    <n v="58.650000000000006"/>
  </r>
  <r>
    <x v="122"/>
    <s v="New Era Cap"/>
    <x v="4"/>
    <x v="6"/>
    <s v="Men"/>
    <s v="Limited Edition"/>
    <x v="4"/>
    <n v="1"/>
    <n v="292.68"/>
    <n v="292.68"/>
    <x v="3"/>
    <n v="58.536000000000001"/>
  </r>
  <r>
    <x v="113"/>
    <s v="Nike Dunk Low"/>
    <x v="0"/>
    <x v="0"/>
    <s v="Women"/>
    <s v="Limited Edition"/>
    <x v="1"/>
    <n v="1"/>
    <n v="292"/>
    <n v="292"/>
    <x v="1"/>
    <n v="58.400000000000006"/>
  </r>
  <r>
    <x v="154"/>
    <s v="Nike Tech Fleece"/>
    <x v="1"/>
    <x v="0"/>
    <s v="Women"/>
    <s v="Streetwear"/>
    <x v="2"/>
    <n v="5"/>
    <n v="58.37"/>
    <n v="291.85000000000002"/>
    <x v="3"/>
    <n v="58.370000000000005"/>
  </r>
  <r>
    <x v="35"/>
    <s v="Fear of God Essentials Tee"/>
    <x v="3"/>
    <x v="4"/>
    <s v="Unisex"/>
    <s v="Streetwear"/>
    <x v="6"/>
    <n v="3"/>
    <n v="97.21"/>
    <n v="291.63"/>
    <x v="1"/>
    <n v="58.326000000000001"/>
  </r>
  <r>
    <x v="17"/>
    <s v="Puma Joggers"/>
    <x v="2"/>
    <x v="2"/>
    <s v="Women"/>
    <s v="Sportswear"/>
    <x v="1"/>
    <n v="1"/>
    <n v="287.44"/>
    <n v="287.44"/>
    <x v="3"/>
    <n v="57.488"/>
  </r>
  <r>
    <x v="116"/>
    <s v="Off-White Hoodie"/>
    <x v="1"/>
    <x v="5"/>
    <s v="Men"/>
    <s v="Streetwear"/>
    <x v="6"/>
    <n v="2"/>
    <n v="142.25"/>
    <n v="284.5"/>
    <x v="3"/>
    <n v="56.900000000000006"/>
  </r>
  <r>
    <x v="74"/>
    <s v="Yeezy Boost 350"/>
    <x v="0"/>
    <x v="3"/>
    <s v="Women"/>
    <s v="Limited Edition"/>
    <x v="0"/>
    <n v="1"/>
    <n v="284.3"/>
    <n v="284.3"/>
    <x v="0"/>
    <n v="56.860000000000007"/>
  </r>
  <r>
    <x v="155"/>
    <s v="Off-White Hoodie"/>
    <x v="1"/>
    <x v="5"/>
    <s v="Unisex"/>
    <s v="Limited Edition"/>
    <x v="0"/>
    <n v="5"/>
    <n v="55.8"/>
    <n v="279"/>
    <x v="0"/>
    <n v="55.800000000000004"/>
  </r>
  <r>
    <x v="156"/>
    <s v="Puma Joggers"/>
    <x v="2"/>
    <x v="2"/>
    <s v="Men"/>
    <s v="Streetwear"/>
    <x v="5"/>
    <n v="1"/>
    <n v="276.64"/>
    <n v="276.64"/>
    <x v="0"/>
    <n v="55.328000000000003"/>
  </r>
  <r>
    <x v="17"/>
    <s v="New Era Cap"/>
    <x v="4"/>
    <x v="6"/>
    <s v="Men"/>
    <s v="Limited Edition"/>
    <x v="3"/>
    <n v="4"/>
    <n v="68.97"/>
    <n v="275.88"/>
    <x v="0"/>
    <n v="55.176000000000002"/>
  </r>
  <r>
    <x v="2"/>
    <s v="Supreme Hoodie"/>
    <x v="1"/>
    <x v="1"/>
    <s v="Women"/>
    <s v="Limited Edition"/>
    <x v="3"/>
    <n v="5"/>
    <n v="54.88"/>
    <n v="274.39999999999998"/>
    <x v="2"/>
    <n v="54.879999999999995"/>
  </r>
  <r>
    <x v="157"/>
    <s v="Off-White Hoodie"/>
    <x v="1"/>
    <x v="5"/>
    <s v="Men"/>
    <s v="Streetwear"/>
    <x v="1"/>
    <n v="4"/>
    <n v="68.180000000000007"/>
    <n v="272.72000000000003"/>
    <x v="1"/>
    <n v="54.544000000000011"/>
  </r>
  <r>
    <x v="14"/>
    <s v="Off-White Hoodie"/>
    <x v="1"/>
    <x v="5"/>
    <s v="Men"/>
    <s v="Streetwear"/>
    <x v="6"/>
    <n v="1"/>
    <n v="271.44"/>
    <n v="271.44"/>
    <x v="1"/>
    <n v="54.288000000000004"/>
  </r>
  <r>
    <x v="158"/>
    <s v="Fear of God Essentials Tee"/>
    <x v="3"/>
    <x v="4"/>
    <s v="Unisex"/>
    <s v="Streetwear"/>
    <x v="3"/>
    <n v="1"/>
    <n v="271.18"/>
    <n v="271.18"/>
    <x v="1"/>
    <n v="54.236000000000004"/>
  </r>
  <r>
    <x v="88"/>
    <s v="Off-White Hoodie"/>
    <x v="1"/>
    <x v="5"/>
    <s v="Unisex"/>
    <s v="Limited Edition"/>
    <x v="0"/>
    <n v="2"/>
    <n v="135.47999999999999"/>
    <n v="270.95999999999998"/>
    <x v="1"/>
    <n v="54.192"/>
  </r>
  <r>
    <x v="121"/>
    <s v="Yeezy Boost 350"/>
    <x v="0"/>
    <x v="3"/>
    <s v="Men"/>
    <s v="Casual"/>
    <x v="6"/>
    <n v="3"/>
    <n v="90.19"/>
    <n v="270.57"/>
    <x v="1"/>
    <n v="54.114000000000004"/>
  </r>
  <r>
    <x v="75"/>
    <s v="Yeezy Boost 350"/>
    <x v="0"/>
    <x v="3"/>
    <s v="Women"/>
    <s v="Limited Edition"/>
    <x v="5"/>
    <n v="2"/>
    <n v="134.38999999999999"/>
    <n v="268.77999999999997"/>
    <x v="1"/>
    <n v="53.756"/>
  </r>
  <r>
    <x v="89"/>
    <s v="Puma Joggers"/>
    <x v="2"/>
    <x v="2"/>
    <s v="Women"/>
    <s v="Casual"/>
    <x v="4"/>
    <n v="3"/>
    <n v="87.81"/>
    <n v="263.43"/>
    <x v="0"/>
    <n v="52.686000000000007"/>
  </r>
  <r>
    <x v="63"/>
    <s v="Off-White Hoodie"/>
    <x v="1"/>
    <x v="5"/>
    <s v="Women"/>
    <s v="Sportswear"/>
    <x v="5"/>
    <n v="2"/>
    <n v="130.4"/>
    <n v="260.8"/>
    <x v="1"/>
    <n v="52.160000000000004"/>
  </r>
  <r>
    <x v="159"/>
    <s v="Puma Joggers"/>
    <x v="2"/>
    <x v="2"/>
    <s v="Women"/>
    <s v="Limited Edition"/>
    <x v="6"/>
    <n v="2"/>
    <n v="130.05000000000001"/>
    <n v="260.10000000000002"/>
    <x v="2"/>
    <n v="52.02000000000001"/>
  </r>
  <r>
    <x v="160"/>
    <s v="Yeezy Boost 350"/>
    <x v="0"/>
    <x v="3"/>
    <s v="Women"/>
    <s v="Casual"/>
    <x v="6"/>
    <n v="2"/>
    <n v="128.86000000000001"/>
    <n v="257.72000000000003"/>
    <x v="3"/>
    <n v="51.544000000000011"/>
  </r>
  <r>
    <x v="161"/>
    <s v="Nike Dunk Low"/>
    <x v="0"/>
    <x v="0"/>
    <s v="Women"/>
    <s v="Sportswear"/>
    <x v="3"/>
    <n v="1"/>
    <n v="256.81"/>
    <n v="256.81"/>
    <x v="0"/>
    <n v="51.362000000000002"/>
  </r>
  <r>
    <x v="44"/>
    <s v="Adidas Ultraboost"/>
    <x v="0"/>
    <x v="3"/>
    <s v="Unisex"/>
    <s v="Sportswear"/>
    <x v="6"/>
    <n v="4"/>
    <n v="63.73"/>
    <n v="254.92"/>
    <x v="0"/>
    <n v="50.984000000000002"/>
  </r>
  <r>
    <x v="162"/>
    <s v="Supreme Hoodie"/>
    <x v="1"/>
    <x v="1"/>
    <s v="Women"/>
    <s v="Sportswear"/>
    <x v="1"/>
    <n v="1"/>
    <n v="251.98"/>
    <n v="251.98"/>
    <x v="0"/>
    <n v="50.396000000000001"/>
  </r>
  <r>
    <x v="82"/>
    <s v="Nike Tech Fleece"/>
    <x v="1"/>
    <x v="0"/>
    <s v="Men"/>
    <s v="Streetwear"/>
    <x v="6"/>
    <n v="3"/>
    <n v="82.62"/>
    <n v="247.86"/>
    <x v="1"/>
    <n v="49.572000000000003"/>
  </r>
  <r>
    <x v="163"/>
    <s v="Off-White Hoodie"/>
    <x v="1"/>
    <x v="5"/>
    <s v="Men"/>
    <s v="Limited Edition"/>
    <x v="2"/>
    <n v="3"/>
    <n v="82.56"/>
    <n v="247.68"/>
    <x v="3"/>
    <n v="49.536000000000001"/>
  </r>
  <r>
    <x v="70"/>
    <s v="New Era Cap"/>
    <x v="4"/>
    <x v="6"/>
    <s v="Women"/>
    <s v="Casual"/>
    <x v="3"/>
    <n v="4"/>
    <n v="61.37"/>
    <n v="245.48"/>
    <x v="1"/>
    <n v="49.096000000000004"/>
  </r>
  <r>
    <x v="54"/>
    <s v="Off-White Hoodie"/>
    <x v="1"/>
    <x v="5"/>
    <s v="Men"/>
    <s v="Limited Edition"/>
    <x v="5"/>
    <n v="3"/>
    <n v="80.349999999999994"/>
    <n v="241.05"/>
    <x v="0"/>
    <n v="48.210000000000008"/>
  </r>
  <r>
    <x v="164"/>
    <s v="Fear of God Essentials Tee"/>
    <x v="3"/>
    <x v="4"/>
    <s v="Women"/>
    <s v="Limited Edition"/>
    <x v="1"/>
    <n v="1"/>
    <n v="240.42"/>
    <n v="240.42"/>
    <x v="0"/>
    <n v="48.084000000000003"/>
  </r>
  <r>
    <x v="78"/>
    <s v="New Era Cap"/>
    <x v="4"/>
    <x v="6"/>
    <s v="Unisex"/>
    <s v="Casual"/>
    <x v="5"/>
    <n v="1"/>
    <n v="239.21"/>
    <n v="239.21"/>
    <x v="2"/>
    <n v="47.842000000000006"/>
  </r>
  <r>
    <x v="165"/>
    <s v="Nike Tech Fleece"/>
    <x v="1"/>
    <x v="0"/>
    <s v="Unisex"/>
    <s v="Streetwear"/>
    <x v="3"/>
    <n v="3"/>
    <n v="79.27"/>
    <n v="237.81"/>
    <x v="0"/>
    <n v="47.562000000000005"/>
  </r>
  <r>
    <x v="166"/>
    <s v="Off-White Hoodie"/>
    <x v="1"/>
    <x v="5"/>
    <s v="Unisex"/>
    <s v="Limited Edition"/>
    <x v="5"/>
    <n v="1"/>
    <n v="233.16"/>
    <n v="233.16"/>
    <x v="1"/>
    <n v="46.632000000000005"/>
  </r>
  <r>
    <x v="122"/>
    <s v="Fear of God Essentials Tee"/>
    <x v="3"/>
    <x v="4"/>
    <s v="Unisex"/>
    <s v="Limited Edition"/>
    <x v="1"/>
    <n v="4"/>
    <n v="57.22"/>
    <n v="228.88"/>
    <x v="1"/>
    <n v="45.776000000000003"/>
  </r>
  <r>
    <x v="167"/>
    <s v="New Era Cap"/>
    <x v="4"/>
    <x v="6"/>
    <s v="Unisex"/>
    <s v="Sportswear"/>
    <x v="0"/>
    <n v="4"/>
    <n v="56.4"/>
    <n v="225.6"/>
    <x v="0"/>
    <n v="45.120000000000005"/>
  </r>
  <r>
    <x v="139"/>
    <s v="New Era Cap"/>
    <x v="4"/>
    <x v="6"/>
    <s v="Unisex"/>
    <s v="Casual"/>
    <x v="2"/>
    <n v="1"/>
    <n v="224.83"/>
    <n v="224.83"/>
    <x v="1"/>
    <n v="44.966000000000008"/>
  </r>
  <r>
    <x v="84"/>
    <s v="Fear of God Essentials Tee"/>
    <x v="3"/>
    <x v="4"/>
    <s v="Men"/>
    <s v="Sportswear"/>
    <x v="6"/>
    <n v="2"/>
    <n v="111.36"/>
    <n v="222.72"/>
    <x v="0"/>
    <n v="44.544000000000004"/>
  </r>
  <r>
    <x v="168"/>
    <s v="Puma Joggers"/>
    <x v="2"/>
    <x v="2"/>
    <s v="Men"/>
    <s v="Streetwear"/>
    <x v="4"/>
    <n v="1"/>
    <n v="221.26"/>
    <n v="221.26"/>
    <x v="0"/>
    <n v="44.252000000000002"/>
  </r>
  <r>
    <x v="77"/>
    <s v="Nike Tech Fleece"/>
    <x v="1"/>
    <x v="0"/>
    <s v="Women"/>
    <s v="Streetwear"/>
    <x v="3"/>
    <n v="3"/>
    <n v="73.31"/>
    <n v="219.93"/>
    <x v="2"/>
    <n v="43.986000000000004"/>
  </r>
  <r>
    <x v="93"/>
    <s v="Yeezy Boost 350"/>
    <x v="0"/>
    <x v="3"/>
    <s v="Women"/>
    <s v="Sportswear"/>
    <x v="2"/>
    <n v="2"/>
    <n v="107.04"/>
    <n v="214.08"/>
    <x v="0"/>
    <n v="42.816000000000003"/>
  </r>
  <r>
    <x v="49"/>
    <s v="Nike Tech Fleece"/>
    <x v="1"/>
    <x v="0"/>
    <s v="Unisex"/>
    <s v="Casual"/>
    <x v="1"/>
    <n v="1"/>
    <n v="209.78"/>
    <n v="209.78"/>
    <x v="3"/>
    <n v="41.956000000000003"/>
  </r>
  <r>
    <x v="169"/>
    <s v="Supreme Hoodie"/>
    <x v="1"/>
    <x v="1"/>
    <s v="Men"/>
    <s v="Sportswear"/>
    <x v="5"/>
    <n v="4"/>
    <n v="52.42"/>
    <n v="209.68"/>
    <x v="2"/>
    <n v="41.936000000000007"/>
  </r>
  <r>
    <x v="120"/>
    <s v="Adidas Ultraboost"/>
    <x v="0"/>
    <x v="3"/>
    <s v="Unisex"/>
    <s v="Casual"/>
    <x v="1"/>
    <n v="1"/>
    <n v="209.13"/>
    <n v="209.13"/>
    <x v="1"/>
    <n v="41.826000000000001"/>
  </r>
  <r>
    <x v="170"/>
    <s v="Adidas Ultraboost"/>
    <x v="0"/>
    <x v="3"/>
    <s v="Women"/>
    <s v="Casual"/>
    <x v="6"/>
    <n v="1"/>
    <n v="208.47"/>
    <n v="208.47"/>
    <x v="1"/>
    <n v="41.694000000000003"/>
  </r>
  <r>
    <x v="138"/>
    <s v="Jordan 1 High"/>
    <x v="0"/>
    <x v="0"/>
    <s v="Women"/>
    <s v="Sportswear"/>
    <x v="0"/>
    <n v="1"/>
    <n v="208.24"/>
    <n v="208.24"/>
    <x v="1"/>
    <n v="41.648000000000003"/>
  </r>
  <r>
    <x v="100"/>
    <s v="Fear of God Essentials Tee"/>
    <x v="3"/>
    <x v="4"/>
    <s v="Women"/>
    <s v="Limited Edition"/>
    <x v="1"/>
    <n v="1"/>
    <n v="207.85"/>
    <n v="207.85"/>
    <x v="2"/>
    <n v="41.57"/>
  </r>
  <r>
    <x v="74"/>
    <s v="Fear of God Essentials Tee"/>
    <x v="3"/>
    <x v="4"/>
    <s v="Unisex"/>
    <s v="Casual"/>
    <x v="0"/>
    <n v="1"/>
    <n v="203.63"/>
    <n v="203.63"/>
    <x v="1"/>
    <n v="40.725999999999999"/>
  </r>
  <r>
    <x v="114"/>
    <s v="Yeezy Boost 350"/>
    <x v="0"/>
    <x v="3"/>
    <s v="Unisex"/>
    <s v="Casual"/>
    <x v="0"/>
    <n v="1"/>
    <n v="202.42"/>
    <n v="202.42"/>
    <x v="2"/>
    <n v="40.484000000000002"/>
  </r>
  <r>
    <x v="115"/>
    <s v="New Era Cap"/>
    <x v="4"/>
    <x v="6"/>
    <s v="Unisex"/>
    <s v="Casual"/>
    <x v="5"/>
    <n v="2"/>
    <n v="100.84"/>
    <n v="201.68"/>
    <x v="1"/>
    <n v="40.336000000000006"/>
  </r>
  <r>
    <x v="33"/>
    <s v="Nike Tech Fleece"/>
    <x v="1"/>
    <x v="0"/>
    <s v="Men"/>
    <s v="Casual"/>
    <x v="5"/>
    <n v="2"/>
    <n v="98.17"/>
    <n v="196.34"/>
    <x v="0"/>
    <n v="39.268000000000001"/>
  </r>
  <r>
    <x v="171"/>
    <s v="Puma Joggers"/>
    <x v="2"/>
    <x v="2"/>
    <s v="Women"/>
    <s v="Sportswear"/>
    <x v="5"/>
    <n v="3"/>
    <n v="65.2"/>
    <n v="195.6"/>
    <x v="2"/>
    <n v="39.120000000000005"/>
  </r>
  <r>
    <x v="155"/>
    <s v="Jordan 1 High"/>
    <x v="0"/>
    <x v="0"/>
    <s v="Unisex"/>
    <s v="Limited Edition"/>
    <x v="1"/>
    <n v="2"/>
    <n v="94.62"/>
    <n v="189.24"/>
    <x v="1"/>
    <n v="37.848000000000006"/>
  </r>
  <r>
    <x v="19"/>
    <s v="Puma Joggers"/>
    <x v="2"/>
    <x v="2"/>
    <s v="Unisex"/>
    <s v="Streetwear"/>
    <x v="3"/>
    <n v="1"/>
    <n v="180.65"/>
    <n v="180.65"/>
    <x v="1"/>
    <n v="36.130000000000003"/>
  </r>
  <r>
    <x v="44"/>
    <s v="Off-White Hoodie"/>
    <x v="1"/>
    <x v="5"/>
    <s v="Unisex"/>
    <s v="Limited Edition"/>
    <x v="5"/>
    <n v="1"/>
    <n v="180.42"/>
    <n v="180.42"/>
    <x v="1"/>
    <n v="36.083999999999996"/>
  </r>
  <r>
    <x v="172"/>
    <s v="Off-White Hoodie"/>
    <x v="1"/>
    <x v="5"/>
    <s v="Men"/>
    <s v="Streetwear"/>
    <x v="5"/>
    <n v="1"/>
    <n v="180.39"/>
    <n v="180.39"/>
    <x v="0"/>
    <n v="36.077999999999996"/>
  </r>
  <r>
    <x v="121"/>
    <s v="Nike Tech Fleece"/>
    <x v="1"/>
    <x v="0"/>
    <s v="Men"/>
    <s v="Streetwear"/>
    <x v="5"/>
    <n v="3"/>
    <n v="59.98"/>
    <n v="179.94"/>
    <x v="3"/>
    <n v="35.988"/>
  </r>
  <r>
    <x v="173"/>
    <s v="Off-White Hoodie"/>
    <x v="1"/>
    <x v="5"/>
    <s v="Women"/>
    <s v="Limited Edition"/>
    <x v="0"/>
    <n v="2"/>
    <n v="89.67"/>
    <n v="179.34"/>
    <x v="3"/>
    <n v="35.868000000000002"/>
  </r>
  <r>
    <x v="174"/>
    <s v="Off-White Hoodie"/>
    <x v="1"/>
    <x v="5"/>
    <s v="Men"/>
    <s v="Casual"/>
    <x v="6"/>
    <n v="2"/>
    <n v="88"/>
    <n v="176"/>
    <x v="2"/>
    <n v="35.200000000000003"/>
  </r>
  <r>
    <x v="175"/>
    <s v="Off-White Hoodie"/>
    <x v="1"/>
    <x v="5"/>
    <s v="Unisex"/>
    <s v="Streetwear"/>
    <x v="0"/>
    <n v="3"/>
    <n v="57.92"/>
    <n v="173.76"/>
    <x v="1"/>
    <n v="34.752000000000002"/>
  </r>
  <r>
    <x v="148"/>
    <s v="Nike Dunk Low"/>
    <x v="0"/>
    <x v="0"/>
    <s v="Men"/>
    <s v="Limited Edition"/>
    <x v="1"/>
    <n v="1"/>
    <n v="170.86"/>
    <n v="170.86"/>
    <x v="2"/>
    <n v="34.172000000000004"/>
  </r>
  <r>
    <x v="77"/>
    <s v="New Era Cap"/>
    <x v="4"/>
    <x v="6"/>
    <s v="Women"/>
    <s v="Sportswear"/>
    <x v="1"/>
    <n v="1"/>
    <n v="167.77"/>
    <n v="167.77"/>
    <x v="1"/>
    <n v="33.554000000000002"/>
  </r>
  <r>
    <x v="107"/>
    <s v="Yeezy Boost 350"/>
    <x v="0"/>
    <x v="3"/>
    <s v="Men"/>
    <s v="Streetwear"/>
    <x v="6"/>
    <n v="1"/>
    <n v="164.57"/>
    <n v="164.57"/>
    <x v="1"/>
    <n v="32.914000000000001"/>
  </r>
  <r>
    <x v="176"/>
    <s v="New Era Cap"/>
    <x v="4"/>
    <x v="6"/>
    <s v="Women"/>
    <s v="Sportswear"/>
    <x v="6"/>
    <n v="3"/>
    <n v="53.98"/>
    <n v="161.94"/>
    <x v="1"/>
    <n v="32.387999999999998"/>
  </r>
  <r>
    <x v="177"/>
    <s v="Yeezy Boost 350"/>
    <x v="0"/>
    <x v="3"/>
    <s v="Men"/>
    <s v="Sportswear"/>
    <x v="5"/>
    <n v="2"/>
    <n v="80.47"/>
    <n v="160.94"/>
    <x v="0"/>
    <n v="32.188000000000002"/>
  </r>
  <r>
    <x v="178"/>
    <s v="Jordan 1 High"/>
    <x v="0"/>
    <x v="0"/>
    <s v="Women"/>
    <s v="Casual"/>
    <x v="1"/>
    <n v="2"/>
    <n v="80.33"/>
    <n v="160.66"/>
    <x v="0"/>
    <n v="32.131999999999998"/>
  </r>
  <r>
    <x v="141"/>
    <s v="Fear of God Essentials Tee"/>
    <x v="3"/>
    <x v="4"/>
    <s v="Unisex"/>
    <s v="Casual"/>
    <x v="4"/>
    <n v="1"/>
    <n v="157.81"/>
    <n v="157.81"/>
    <x v="1"/>
    <n v="31.562000000000001"/>
  </r>
  <r>
    <x v="179"/>
    <s v="Jordan 1 High"/>
    <x v="0"/>
    <x v="0"/>
    <s v="Men"/>
    <s v="Limited Edition"/>
    <x v="0"/>
    <n v="3"/>
    <n v="51.81"/>
    <n v="155.43"/>
    <x v="2"/>
    <n v="31.086000000000002"/>
  </r>
  <r>
    <x v="108"/>
    <s v="Fear of God Essentials Tee"/>
    <x v="3"/>
    <x v="4"/>
    <s v="Men"/>
    <s v="Casual"/>
    <x v="4"/>
    <n v="2"/>
    <n v="74.83"/>
    <n v="149.66"/>
    <x v="0"/>
    <n v="29.932000000000002"/>
  </r>
  <r>
    <x v="77"/>
    <s v="Supreme Hoodie"/>
    <x v="1"/>
    <x v="1"/>
    <s v="Men"/>
    <s v="Casual"/>
    <x v="1"/>
    <n v="1"/>
    <n v="144.59"/>
    <n v="144.59"/>
    <x v="3"/>
    <n v="28.918000000000003"/>
  </r>
  <r>
    <x v="169"/>
    <s v="Puma Joggers"/>
    <x v="2"/>
    <x v="2"/>
    <s v="Men"/>
    <s v="Limited Edition"/>
    <x v="2"/>
    <n v="1"/>
    <n v="144.04"/>
    <n v="144.04"/>
    <x v="1"/>
    <n v="28.808"/>
  </r>
  <r>
    <x v="133"/>
    <s v="Supreme Hoodie"/>
    <x v="1"/>
    <x v="1"/>
    <s v="Women"/>
    <s v="Limited Edition"/>
    <x v="3"/>
    <n v="1"/>
    <n v="141.11000000000001"/>
    <n v="141.11000000000001"/>
    <x v="3"/>
    <n v="28.222000000000005"/>
  </r>
  <r>
    <x v="180"/>
    <s v="Adidas Ultraboost"/>
    <x v="0"/>
    <x v="3"/>
    <s v="Unisex"/>
    <s v="Sportswear"/>
    <x v="1"/>
    <n v="1"/>
    <n v="137.19999999999999"/>
    <n v="137.19999999999999"/>
    <x v="0"/>
    <n v="27.439999999999998"/>
  </r>
  <r>
    <x v="47"/>
    <s v="Supreme Hoodie"/>
    <x v="1"/>
    <x v="1"/>
    <s v="Women"/>
    <s v="Limited Edition"/>
    <x v="1"/>
    <n v="1"/>
    <n v="136.80000000000001"/>
    <n v="136.80000000000001"/>
    <x v="3"/>
    <n v="27.360000000000003"/>
  </r>
  <r>
    <x v="157"/>
    <s v="Nike Dunk Low"/>
    <x v="0"/>
    <x v="0"/>
    <s v="Women"/>
    <s v="Streetwear"/>
    <x v="5"/>
    <n v="1"/>
    <n v="132.09"/>
    <n v="132.09"/>
    <x v="3"/>
    <n v="26.418000000000003"/>
  </r>
  <r>
    <x v="84"/>
    <s v="Puma Joggers"/>
    <x v="2"/>
    <x v="2"/>
    <s v="Women"/>
    <s v="Sportswear"/>
    <x v="3"/>
    <n v="1"/>
    <n v="132.07"/>
    <n v="132.07"/>
    <x v="2"/>
    <n v="26.414000000000001"/>
  </r>
  <r>
    <x v="34"/>
    <s v="Off-White Hoodie"/>
    <x v="1"/>
    <x v="5"/>
    <s v="Men"/>
    <s v="Sportswear"/>
    <x v="6"/>
    <n v="2"/>
    <n v="63.76"/>
    <n v="127.52"/>
    <x v="1"/>
    <n v="25.504000000000001"/>
  </r>
  <r>
    <x v="178"/>
    <s v="Yeezy Boost 350"/>
    <x v="0"/>
    <x v="3"/>
    <s v="Women"/>
    <s v="Limited Edition"/>
    <x v="5"/>
    <n v="1"/>
    <n v="122.32"/>
    <n v="122.32"/>
    <x v="1"/>
    <n v="24.463999999999999"/>
  </r>
  <r>
    <x v="132"/>
    <s v="Yeezy Boost 350"/>
    <x v="0"/>
    <x v="3"/>
    <s v="Men"/>
    <s v="Limited Edition"/>
    <x v="0"/>
    <n v="1"/>
    <n v="117.18"/>
    <n v="117.18"/>
    <x v="1"/>
    <n v="23.436000000000003"/>
  </r>
  <r>
    <x v="23"/>
    <s v="Nike Dunk Low"/>
    <x v="0"/>
    <x v="0"/>
    <s v="Unisex"/>
    <s v="Streetwear"/>
    <x v="3"/>
    <n v="1"/>
    <n v="114.47"/>
    <n v="114.47"/>
    <x v="2"/>
    <n v="22.894000000000002"/>
  </r>
  <r>
    <x v="145"/>
    <s v="Adidas Ultraboost"/>
    <x v="0"/>
    <x v="3"/>
    <s v="Unisex"/>
    <s v="Casual"/>
    <x v="1"/>
    <n v="1"/>
    <n v="112.26"/>
    <n v="112.26"/>
    <x v="3"/>
    <n v="22.452000000000002"/>
  </r>
  <r>
    <x v="181"/>
    <s v="Yeezy Boost 350"/>
    <x v="0"/>
    <x v="3"/>
    <s v="Women"/>
    <s v="Streetwear"/>
    <x v="1"/>
    <n v="1"/>
    <n v="109.66"/>
    <n v="109.66"/>
    <x v="1"/>
    <n v="21.932000000000002"/>
  </r>
  <r>
    <x v="127"/>
    <s v="Off-White Hoodie"/>
    <x v="1"/>
    <x v="5"/>
    <s v="Unisex"/>
    <s v="Sportswear"/>
    <x v="1"/>
    <n v="2"/>
    <n v="54.76"/>
    <n v="109.52"/>
    <x v="2"/>
    <n v="21.904"/>
  </r>
  <r>
    <x v="75"/>
    <s v="Fear of God Essentials Tee"/>
    <x v="3"/>
    <x v="4"/>
    <s v="Unisex"/>
    <s v="Streetwear"/>
    <x v="0"/>
    <n v="1"/>
    <n v="106.59"/>
    <n v="106.59"/>
    <x v="0"/>
    <n v="21.318000000000001"/>
  </r>
  <r>
    <x v="166"/>
    <s v="Supreme Hoodie"/>
    <x v="1"/>
    <x v="1"/>
    <s v="Women"/>
    <s v="Limited Edition"/>
    <x v="1"/>
    <n v="2"/>
    <n v="53.05"/>
    <n v="106.1"/>
    <x v="1"/>
    <n v="21.22"/>
  </r>
  <r>
    <x v="145"/>
    <s v="Adidas Ultraboost"/>
    <x v="0"/>
    <x v="3"/>
    <s v="Unisex"/>
    <s v="Casual"/>
    <x v="0"/>
    <n v="1"/>
    <n v="104.16"/>
    <n v="104.16"/>
    <x v="2"/>
    <n v="20.832000000000001"/>
  </r>
  <r>
    <x v="182"/>
    <s v="Nike Tech Fleece"/>
    <x v="1"/>
    <x v="0"/>
    <s v="Men"/>
    <s v="Streetwear"/>
    <x v="3"/>
    <n v="2"/>
    <n v="51.11"/>
    <n v="102.22"/>
    <x v="1"/>
    <n v="20.444000000000003"/>
  </r>
  <r>
    <x v="97"/>
    <s v="Off-White Hoodie"/>
    <x v="1"/>
    <x v="5"/>
    <s v="Unisex"/>
    <s v="Streetwear"/>
    <x v="5"/>
    <n v="1"/>
    <n v="101.32"/>
    <n v="101.32"/>
    <x v="3"/>
    <n v="20.263999999999999"/>
  </r>
  <r>
    <x v="28"/>
    <s v="Supreme Hoodie"/>
    <x v="1"/>
    <x v="1"/>
    <s v="Men"/>
    <s v="Casual"/>
    <x v="5"/>
    <n v="1"/>
    <n v="98.04"/>
    <n v="98.04"/>
    <x v="1"/>
    <n v="19.608000000000004"/>
  </r>
  <r>
    <x v="183"/>
    <s v="Jordan 1 High"/>
    <x v="0"/>
    <x v="0"/>
    <s v="Unisex"/>
    <s v="Sportswear"/>
    <x v="2"/>
    <n v="1"/>
    <n v="96.97"/>
    <n v="96.97"/>
    <x v="2"/>
    <n v="19.394000000000002"/>
  </r>
  <r>
    <x v="55"/>
    <s v="Adidas Ultraboost"/>
    <x v="0"/>
    <x v="3"/>
    <s v="Men"/>
    <s v="Sportswear"/>
    <x v="4"/>
    <n v="1"/>
    <n v="93.08"/>
    <n v="93.08"/>
    <x v="2"/>
    <n v="18.616"/>
  </r>
  <r>
    <x v="184"/>
    <s v="Supreme Hoodie"/>
    <x v="1"/>
    <x v="1"/>
    <s v="Unisex"/>
    <s v="Casual"/>
    <x v="6"/>
    <n v="1"/>
    <n v="91.56"/>
    <n v="91.56"/>
    <x v="3"/>
    <n v="18.312000000000001"/>
  </r>
  <r>
    <x v="113"/>
    <s v="Puma Joggers"/>
    <x v="2"/>
    <x v="2"/>
    <s v="Men"/>
    <s v="Casual"/>
    <x v="2"/>
    <n v="1"/>
    <n v="89.5"/>
    <n v="89.5"/>
    <x v="3"/>
    <n v="17.900000000000002"/>
  </r>
  <r>
    <x v="62"/>
    <s v="Off-White Hoodie"/>
    <x v="1"/>
    <x v="5"/>
    <s v="Women"/>
    <s v="Casual"/>
    <x v="6"/>
    <n v="1"/>
    <n v="89.14"/>
    <n v="89.14"/>
    <x v="1"/>
    <n v="17.827999999999999"/>
  </r>
  <r>
    <x v="19"/>
    <s v="Off-White Hoodie"/>
    <x v="1"/>
    <x v="5"/>
    <s v="Men"/>
    <s v="Sportswear"/>
    <x v="4"/>
    <n v="1"/>
    <n v="86.17"/>
    <n v="86.17"/>
    <x v="2"/>
    <n v="17.234000000000002"/>
  </r>
  <r>
    <x v="0"/>
    <s v="Puma Joggers"/>
    <x v="2"/>
    <x v="2"/>
    <s v="Women"/>
    <s v="Casual"/>
    <x v="2"/>
    <n v="1"/>
    <n v="81.569999999999993"/>
    <n v="81.569999999999993"/>
    <x v="3"/>
    <n v="16.314"/>
  </r>
  <r>
    <x v="185"/>
    <s v="New Era Cap"/>
    <x v="4"/>
    <x v="6"/>
    <s v="Women"/>
    <s v="Sportswear"/>
    <x v="5"/>
    <n v="1"/>
    <n v="75.27"/>
    <n v="75.27"/>
    <x v="0"/>
    <n v="15.054"/>
  </r>
  <r>
    <x v="171"/>
    <s v="Yeezy Boost 350"/>
    <x v="0"/>
    <x v="3"/>
    <s v="Unisex"/>
    <s v="Sportswear"/>
    <x v="3"/>
    <n v="1"/>
    <n v="70.69"/>
    <n v="70.69"/>
    <x v="3"/>
    <n v="14.138"/>
  </r>
  <r>
    <x v="186"/>
    <s v="Yeezy Boost 350"/>
    <x v="0"/>
    <x v="3"/>
    <s v="Women"/>
    <s v="Casual"/>
    <x v="4"/>
    <n v="1"/>
    <n v="67.2"/>
    <n v="67.2"/>
    <x v="2"/>
    <n v="13.440000000000001"/>
  </r>
  <r>
    <x v="58"/>
    <s v="Nike Tech Fleece"/>
    <x v="1"/>
    <x v="0"/>
    <s v="Men"/>
    <s v="Sportswear"/>
    <x v="3"/>
    <n v="1"/>
    <n v="65.45"/>
    <n v="65.45"/>
    <x v="1"/>
    <n v="13.090000000000002"/>
  </r>
  <r>
    <x v="187"/>
    <s v="Nike Dunk Low"/>
    <x v="0"/>
    <x v="0"/>
    <s v="Unisex"/>
    <s v="Casual"/>
    <x v="2"/>
    <n v="1"/>
    <n v="59.85"/>
    <n v="59.85"/>
    <x v="2"/>
    <n v="11.97"/>
  </r>
  <r>
    <x v="188"/>
    <s v="Off-White Hoodie"/>
    <x v="1"/>
    <x v="5"/>
    <s v="Women"/>
    <s v="Casual"/>
    <x v="4"/>
    <n v="1"/>
    <n v="59.05"/>
    <n v="59.05"/>
    <x v="1"/>
    <n v="11.81"/>
  </r>
  <r>
    <x v="42"/>
    <s v="Puma Joggers"/>
    <x v="2"/>
    <x v="2"/>
    <s v="Women"/>
    <s v="Casual"/>
    <x v="6"/>
    <n v="1"/>
    <n v="56.73"/>
    <n v="56.73"/>
    <x v="2"/>
    <n v="11.346"/>
  </r>
  <r>
    <x v="189"/>
    <s v="Yeezy Boost 350"/>
    <x v="0"/>
    <x v="3"/>
    <s v="Men"/>
    <s v="Limited Edition"/>
    <x v="0"/>
    <n v="1"/>
    <n v="56.49"/>
    <n v="56.49"/>
    <x v="3"/>
    <n v="11.298000000000002"/>
  </r>
  <r>
    <x v="190"/>
    <s v="Jordan 1 High"/>
    <x v="0"/>
    <x v="0"/>
    <s v="Women"/>
    <s v="Limited Edition"/>
    <x v="1"/>
    <n v="1"/>
    <n v="54.99"/>
    <n v="54.99"/>
    <x v="1"/>
    <n v="10.998000000000001"/>
  </r>
  <r>
    <x v="82"/>
    <s v="Supreme Hoodie"/>
    <x v="1"/>
    <x v="1"/>
    <s v="Unisex"/>
    <s v="Casual"/>
    <x v="2"/>
    <n v="1"/>
    <n v="54.44"/>
    <n v="54.44"/>
    <x v="1"/>
    <n v="10.888"/>
  </r>
  <r>
    <x v="14"/>
    <s v="Supreme Hoodie"/>
    <x v="1"/>
    <x v="1"/>
    <s v="Men"/>
    <s v="Sportswear"/>
    <x v="2"/>
    <n v="1"/>
    <n v="50.1"/>
    <n v="50.1"/>
    <x v="0"/>
    <n v="10.02000000000000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F7E44C5-6B21-4E40-8F5A-2518A7945262}" name="PivotTable2"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F11:F12" firstHeaderRow="1" firstDataRow="1" firstDataCol="0"/>
  <pivotFields count="14">
    <pivotField numFmtId="14" showAll="0">
      <items count="192">
        <item x="114"/>
        <item x="15"/>
        <item x="57"/>
        <item x="109"/>
        <item x="180"/>
        <item x="159"/>
        <item x="5"/>
        <item x="59"/>
        <item x="167"/>
        <item x="106"/>
        <item x="3"/>
        <item x="26"/>
        <item x="63"/>
        <item x="95"/>
        <item x="184"/>
        <item x="131"/>
        <item x="166"/>
        <item x="79"/>
        <item x="67"/>
        <item x="144"/>
        <item x="152"/>
        <item x="164"/>
        <item x="65"/>
        <item x="52"/>
        <item x="133"/>
        <item x="78"/>
        <item x="21"/>
        <item x="168"/>
        <item x="87"/>
        <item x="161"/>
        <item x="61"/>
        <item x="82"/>
        <item x="60"/>
        <item x="96"/>
        <item x="149"/>
        <item x="121"/>
        <item x="24"/>
        <item x="188"/>
        <item x="20"/>
        <item x="163"/>
        <item x="175"/>
        <item x="176"/>
        <item x="125"/>
        <item x="160"/>
        <item x="130"/>
        <item x="36"/>
        <item x="179"/>
        <item x="11"/>
        <item x="41"/>
        <item x="88"/>
        <item x="89"/>
        <item x="30"/>
        <item x="25"/>
        <item x="182"/>
        <item x="45"/>
        <item x="66"/>
        <item x="18"/>
        <item x="97"/>
        <item x="138"/>
        <item x="129"/>
        <item x="140"/>
        <item x="62"/>
        <item x="32"/>
        <item x="108"/>
        <item x="64"/>
        <item x="48"/>
        <item x="111"/>
        <item x="53"/>
        <item x="17"/>
        <item x="49"/>
        <item x="92"/>
        <item x="158"/>
        <item x="7"/>
        <item x="119"/>
        <item x="116"/>
        <item x="162"/>
        <item x="77"/>
        <item x="113"/>
        <item x="39"/>
        <item x="68"/>
        <item x="118"/>
        <item x="1"/>
        <item x="85"/>
        <item x="150"/>
        <item x="22"/>
        <item x="151"/>
        <item x="71"/>
        <item x="181"/>
        <item x="43"/>
        <item x="143"/>
        <item x="12"/>
        <item x="128"/>
        <item x="156"/>
        <item x="33"/>
        <item x="186"/>
        <item x="171"/>
        <item x="98"/>
        <item x="91"/>
        <item x="183"/>
        <item x="94"/>
        <item x="14"/>
        <item x="37"/>
        <item x="23"/>
        <item x="185"/>
        <item x="58"/>
        <item x="187"/>
        <item x="115"/>
        <item x="110"/>
        <item x="146"/>
        <item x="72"/>
        <item x="172"/>
        <item x="56"/>
        <item x="170"/>
        <item x="136"/>
        <item x="74"/>
        <item x="86"/>
        <item x="44"/>
        <item x="157"/>
        <item x="190"/>
        <item x="29"/>
        <item x="54"/>
        <item x="31"/>
        <item x="153"/>
        <item x="38"/>
        <item x="0"/>
        <item x="102"/>
        <item x="103"/>
        <item x="137"/>
        <item x="169"/>
        <item x="42"/>
        <item x="34"/>
        <item x="8"/>
        <item x="99"/>
        <item x="178"/>
        <item x="112"/>
        <item x="165"/>
        <item x="73"/>
        <item x="154"/>
        <item x="132"/>
        <item x="104"/>
        <item x="46"/>
        <item x="127"/>
        <item x="35"/>
        <item x="27"/>
        <item x="19"/>
        <item x="93"/>
        <item x="70"/>
        <item x="47"/>
        <item x="139"/>
        <item x="69"/>
        <item x="126"/>
        <item x="10"/>
        <item x="76"/>
        <item x="100"/>
        <item x="40"/>
        <item x="148"/>
        <item x="120"/>
        <item x="51"/>
        <item x="4"/>
        <item x="81"/>
        <item x="147"/>
        <item x="13"/>
        <item x="122"/>
        <item x="173"/>
        <item x="75"/>
        <item x="2"/>
        <item x="105"/>
        <item x="124"/>
        <item x="28"/>
        <item x="9"/>
        <item x="117"/>
        <item x="174"/>
        <item x="142"/>
        <item x="135"/>
        <item x="83"/>
        <item x="141"/>
        <item x="90"/>
        <item x="107"/>
        <item x="177"/>
        <item x="16"/>
        <item x="80"/>
        <item x="155"/>
        <item x="50"/>
        <item x="123"/>
        <item x="134"/>
        <item x="6"/>
        <item x="145"/>
        <item x="55"/>
        <item x="101"/>
        <item x="84"/>
        <item x="189"/>
        <item t="default"/>
      </items>
    </pivotField>
    <pivotField showAll="0"/>
    <pivotField showAll="0">
      <items count="6">
        <item x="4"/>
        <item x="1"/>
        <item x="2"/>
        <item x="0"/>
        <item x="3"/>
        <item t="default"/>
      </items>
    </pivotField>
    <pivotField showAll="0">
      <items count="8">
        <item x="3"/>
        <item x="4"/>
        <item x="6"/>
        <item x="0"/>
        <item x="5"/>
        <item x="2"/>
        <item x="1"/>
        <item t="default"/>
      </items>
    </pivotField>
    <pivotField showAll="0"/>
    <pivotField showAll="0"/>
    <pivotField showAll="0">
      <items count="8">
        <item x="3"/>
        <item x="5"/>
        <item x="1"/>
        <item x="2"/>
        <item x="4"/>
        <item x="6"/>
        <item x="0"/>
        <item t="default"/>
      </items>
    </pivotField>
    <pivotField dataField="1" showAll="0"/>
    <pivotField showAll="0"/>
    <pivotField showAll="0"/>
    <pivotField showAll="0"/>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h="1" x="0"/>
        <item h="1" x="1"/>
        <item h="1" x="2"/>
        <item h="1" x="3"/>
        <item x="4"/>
        <item h="1" x="5"/>
        <item h="1" x="6"/>
        <item h="1" x="7"/>
        <item h="1" x="8"/>
        <item h="1" x="9"/>
        <item h="1" x="10"/>
        <item h="1" x="11"/>
        <item h="1" x="12"/>
        <item h="1" x="13"/>
        <item t="default"/>
      </items>
    </pivotField>
  </pivotFields>
  <rowItems count="1">
    <i/>
  </rowItems>
  <colItems count="1">
    <i/>
  </colItems>
  <dataFields count="1">
    <dataField name="Sum of Quantity"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B870D4E-892A-43C9-B700-027646A3B988}" name="topmonth"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I30:J32" firstHeaderRow="1" firstDataRow="1" firstDataCol="1"/>
  <pivotFields count="14">
    <pivotField numFmtId="14" showAll="0">
      <items count="192">
        <item x="114"/>
        <item x="15"/>
        <item x="57"/>
        <item x="109"/>
        <item x="180"/>
        <item x="159"/>
        <item x="5"/>
        <item x="59"/>
        <item x="167"/>
        <item x="106"/>
        <item x="3"/>
        <item x="26"/>
        <item x="63"/>
        <item x="95"/>
        <item x="184"/>
        <item x="131"/>
        <item x="166"/>
        <item x="79"/>
        <item x="67"/>
        <item x="144"/>
        <item x="152"/>
        <item x="164"/>
        <item x="65"/>
        <item x="52"/>
        <item x="133"/>
        <item x="78"/>
        <item x="21"/>
        <item x="168"/>
        <item x="87"/>
        <item x="161"/>
        <item x="61"/>
        <item x="82"/>
        <item x="60"/>
        <item x="96"/>
        <item x="149"/>
        <item x="121"/>
        <item x="24"/>
        <item x="188"/>
        <item x="20"/>
        <item x="163"/>
        <item x="175"/>
        <item x="176"/>
        <item x="125"/>
        <item x="160"/>
        <item x="130"/>
        <item x="36"/>
        <item x="179"/>
        <item x="11"/>
        <item x="41"/>
        <item x="88"/>
        <item x="89"/>
        <item x="30"/>
        <item x="25"/>
        <item x="182"/>
        <item x="45"/>
        <item x="66"/>
        <item x="18"/>
        <item x="97"/>
        <item x="138"/>
        <item x="129"/>
        <item x="140"/>
        <item x="62"/>
        <item x="32"/>
        <item x="108"/>
        <item x="64"/>
        <item x="48"/>
        <item x="111"/>
        <item x="53"/>
        <item x="17"/>
        <item x="49"/>
        <item x="92"/>
        <item x="158"/>
        <item x="7"/>
        <item x="119"/>
        <item x="116"/>
        <item x="162"/>
        <item x="77"/>
        <item x="113"/>
        <item x="39"/>
        <item x="68"/>
        <item x="118"/>
        <item x="1"/>
        <item x="85"/>
        <item x="150"/>
        <item x="22"/>
        <item x="151"/>
        <item x="71"/>
        <item x="181"/>
        <item x="43"/>
        <item x="143"/>
        <item x="12"/>
        <item x="128"/>
        <item x="156"/>
        <item x="33"/>
        <item x="186"/>
        <item x="171"/>
        <item x="98"/>
        <item x="91"/>
        <item x="183"/>
        <item x="94"/>
        <item x="14"/>
        <item x="37"/>
        <item x="23"/>
        <item x="185"/>
        <item x="58"/>
        <item x="187"/>
        <item x="115"/>
        <item x="110"/>
        <item x="146"/>
        <item x="72"/>
        <item x="172"/>
        <item x="56"/>
        <item x="170"/>
        <item x="136"/>
        <item x="74"/>
        <item x="86"/>
        <item x="44"/>
        <item x="157"/>
        <item x="190"/>
        <item x="29"/>
        <item x="54"/>
        <item x="31"/>
        <item x="153"/>
        <item x="38"/>
        <item x="0"/>
        <item x="102"/>
        <item x="103"/>
        <item x="137"/>
        <item x="169"/>
        <item x="42"/>
        <item x="34"/>
        <item x="8"/>
        <item x="99"/>
        <item x="178"/>
        <item x="112"/>
        <item x="165"/>
        <item x="73"/>
        <item x="154"/>
        <item x="132"/>
        <item x="104"/>
        <item x="46"/>
        <item x="127"/>
        <item x="35"/>
        <item x="27"/>
        <item x="19"/>
        <item x="93"/>
        <item x="70"/>
        <item x="47"/>
        <item x="139"/>
        <item x="69"/>
        <item x="126"/>
        <item x="10"/>
        <item x="76"/>
        <item x="100"/>
        <item x="40"/>
        <item x="148"/>
        <item x="120"/>
        <item x="51"/>
        <item x="4"/>
        <item x="81"/>
        <item x="147"/>
        <item x="13"/>
        <item x="122"/>
        <item x="173"/>
        <item x="75"/>
        <item x="2"/>
        <item x="105"/>
        <item x="124"/>
        <item x="28"/>
        <item x="9"/>
        <item x="117"/>
        <item x="174"/>
        <item x="142"/>
        <item x="135"/>
        <item x="83"/>
        <item x="141"/>
        <item x="90"/>
        <item x="107"/>
        <item x="177"/>
        <item x="16"/>
        <item x="80"/>
        <item x="155"/>
        <item x="50"/>
        <item x="123"/>
        <item x="134"/>
        <item x="6"/>
        <item x="145"/>
        <item x="55"/>
        <item x="101"/>
        <item x="84"/>
        <item x="189"/>
        <item t="default"/>
      </items>
    </pivotField>
    <pivotField showAll="0"/>
    <pivotField showAll="0">
      <items count="6">
        <item x="4"/>
        <item x="1"/>
        <item x="2"/>
        <item x="0"/>
        <item x="3"/>
        <item t="default"/>
      </items>
    </pivotField>
    <pivotField showAll="0">
      <items count="8">
        <item x="3"/>
        <item x="4"/>
        <item x="6"/>
        <item x="0"/>
        <item x="5"/>
        <item x="2"/>
        <item x="1"/>
        <item t="default"/>
      </items>
    </pivotField>
    <pivotField showAll="0"/>
    <pivotField showAll="0"/>
    <pivotField showAll="0">
      <items count="8">
        <item x="3"/>
        <item x="5"/>
        <item x="1"/>
        <item x="2"/>
        <item x="4"/>
        <item x="6"/>
        <item x="0"/>
        <item t="default"/>
      </items>
    </pivotField>
    <pivotField showAll="0"/>
    <pivotField showAll="0"/>
    <pivotField dataField="1" showAll="0"/>
    <pivotField showAll="0"/>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Row" multipleItemSelectionAllowed="1" showAll="0" measureFilter="1">
      <items count="15">
        <item sd="0" x="0"/>
        <item sd="0" x="1"/>
        <item sd="0" x="2"/>
        <item sd="0" x="3"/>
        <item sd="0" x="4"/>
        <item sd="0" x="5"/>
        <item sd="0" x="6"/>
        <item sd="0" x="7"/>
        <item sd="0" x="8"/>
        <item sd="0" x="9"/>
        <item sd="0" x="10"/>
        <item sd="0" x="11"/>
        <item sd="0" x="12"/>
        <item sd="0" x="13"/>
        <item t="default"/>
      </items>
    </pivotField>
  </pivotFields>
  <rowFields count="1">
    <field x="13"/>
  </rowFields>
  <rowItems count="2">
    <i>
      <x v="7"/>
    </i>
    <i t="grand">
      <x/>
    </i>
  </rowItems>
  <colItems count="1">
    <i/>
  </colItems>
  <dataFields count="1">
    <dataField name="Sum of Amount ($)" fld="9" baseField="0" baseItem="0" numFmtId="166"/>
  </dataFields>
  <formats count="6">
    <format dxfId="189">
      <pivotArea type="all" dataOnly="0" outline="0" fieldPosition="0"/>
    </format>
    <format dxfId="188">
      <pivotArea outline="0" collapsedLevelsAreSubtotals="1" fieldPosition="0"/>
    </format>
    <format dxfId="187">
      <pivotArea field="13" type="button" dataOnly="0" labelOnly="1" outline="0" axis="axisRow" fieldPosition="0"/>
    </format>
    <format dxfId="186">
      <pivotArea dataOnly="0" labelOnly="1" fieldPosition="0">
        <references count="1">
          <reference field="13" count="8">
            <x v="1"/>
            <x v="2"/>
            <x v="3"/>
            <x v="4"/>
            <x v="5"/>
            <x v="6"/>
            <x v="7"/>
            <x v="8"/>
          </reference>
        </references>
      </pivotArea>
    </format>
    <format dxfId="185">
      <pivotArea dataOnly="0" labelOnly="1" grandRow="1" outline="0" fieldPosition="0"/>
    </format>
    <format dxfId="184">
      <pivotArea dataOnly="0" labelOnly="1" outline="0" axis="axisValues" fieldPosition="0"/>
    </format>
  </format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3" type="count" evalOrder="-1" id="1134" iMeasureFld="0">
      <autoFilter ref="A1">
        <filterColumn colId="0">
          <top10 val="1" filterVal="1"/>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9B4A10E-C9A4-48B6-ADBB-FC7C4D38882A}" name="topbrand"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F18:G20" firstHeaderRow="1" firstDataRow="1" firstDataCol="1"/>
  <pivotFields count="14">
    <pivotField numFmtId="14" showAll="0">
      <items count="192">
        <item x="114"/>
        <item x="15"/>
        <item x="57"/>
        <item x="109"/>
        <item x="180"/>
        <item x="159"/>
        <item x="5"/>
        <item x="59"/>
        <item x="167"/>
        <item x="106"/>
        <item x="3"/>
        <item x="26"/>
        <item x="63"/>
        <item x="95"/>
        <item x="184"/>
        <item x="131"/>
        <item x="166"/>
        <item x="79"/>
        <item x="67"/>
        <item x="144"/>
        <item x="152"/>
        <item x="164"/>
        <item x="65"/>
        <item x="52"/>
        <item x="133"/>
        <item x="78"/>
        <item x="21"/>
        <item x="168"/>
        <item x="87"/>
        <item x="161"/>
        <item x="61"/>
        <item x="82"/>
        <item x="60"/>
        <item x="96"/>
        <item x="149"/>
        <item x="121"/>
        <item x="24"/>
        <item x="188"/>
        <item x="20"/>
        <item x="163"/>
        <item x="175"/>
        <item x="176"/>
        <item x="125"/>
        <item x="160"/>
        <item x="130"/>
        <item x="36"/>
        <item x="179"/>
        <item x="11"/>
        <item x="41"/>
        <item x="88"/>
        <item x="89"/>
        <item x="30"/>
        <item x="25"/>
        <item x="182"/>
        <item x="45"/>
        <item x="66"/>
        <item x="18"/>
        <item x="97"/>
        <item x="138"/>
        <item x="129"/>
        <item x="140"/>
        <item x="62"/>
        <item x="32"/>
        <item x="108"/>
        <item x="64"/>
        <item x="48"/>
        <item x="111"/>
        <item x="53"/>
        <item x="17"/>
        <item x="49"/>
        <item x="92"/>
        <item x="158"/>
        <item x="7"/>
        <item x="119"/>
        <item x="116"/>
        <item x="162"/>
        <item x="77"/>
        <item x="113"/>
        <item x="39"/>
        <item x="68"/>
        <item x="118"/>
        <item x="1"/>
        <item x="85"/>
        <item x="150"/>
        <item x="22"/>
        <item x="151"/>
        <item x="71"/>
        <item x="181"/>
        <item x="43"/>
        <item x="143"/>
        <item x="12"/>
        <item x="128"/>
        <item x="156"/>
        <item x="33"/>
        <item x="186"/>
        <item x="171"/>
        <item x="98"/>
        <item x="91"/>
        <item x="183"/>
        <item x="94"/>
        <item x="14"/>
        <item x="37"/>
        <item x="23"/>
        <item x="185"/>
        <item x="58"/>
        <item x="187"/>
        <item x="115"/>
        <item x="110"/>
        <item x="146"/>
        <item x="72"/>
        <item x="172"/>
        <item x="56"/>
        <item x="170"/>
        <item x="136"/>
        <item x="74"/>
        <item x="86"/>
        <item x="44"/>
        <item x="157"/>
        <item x="190"/>
        <item x="29"/>
        <item x="54"/>
        <item x="31"/>
        <item x="153"/>
        <item x="38"/>
        <item x="0"/>
        <item x="102"/>
        <item x="103"/>
        <item x="137"/>
        <item x="169"/>
        <item x="42"/>
        <item x="34"/>
        <item x="8"/>
        <item x="99"/>
        <item x="178"/>
        <item x="112"/>
        <item x="165"/>
        <item x="73"/>
        <item x="154"/>
        <item x="132"/>
        <item x="104"/>
        <item x="46"/>
        <item x="127"/>
        <item x="35"/>
        <item x="27"/>
        <item x="19"/>
        <item x="93"/>
        <item x="70"/>
        <item x="47"/>
        <item x="139"/>
        <item x="69"/>
        <item x="126"/>
        <item x="10"/>
        <item x="76"/>
        <item x="100"/>
        <item x="40"/>
        <item x="148"/>
        <item x="120"/>
        <item x="51"/>
        <item x="4"/>
        <item x="81"/>
        <item x="147"/>
        <item x="13"/>
        <item x="122"/>
        <item x="173"/>
        <item x="75"/>
        <item x="2"/>
        <item x="105"/>
        <item x="124"/>
        <item x="28"/>
        <item x="9"/>
        <item x="117"/>
        <item x="174"/>
        <item x="142"/>
        <item x="135"/>
        <item x="83"/>
        <item x="141"/>
        <item x="90"/>
        <item x="107"/>
        <item x="177"/>
        <item x="16"/>
        <item x="80"/>
        <item x="155"/>
        <item x="50"/>
        <item x="123"/>
        <item x="134"/>
        <item x="6"/>
        <item x="145"/>
        <item x="55"/>
        <item x="101"/>
        <item x="84"/>
        <item x="189"/>
        <item t="default"/>
      </items>
    </pivotField>
    <pivotField showAll="0"/>
    <pivotField showAll="0">
      <items count="6">
        <item x="4"/>
        <item x="1"/>
        <item x="2"/>
        <item x="0"/>
        <item x="3"/>
        <item t="default"/>
      </items>
    </pivotField>
    <pivotField axis="axisRow" showAll="0" measureFilter="1" sortType="descending">
      <items count="8">
        <item x="3"/>
        <item x="4"/>
        <item x="6"/>
        <item x="0"/>
        <item x="5"/>
        <item x="2"/>
        <item x="1"/>
        <item t="default"/>
      </items>
      <autoSortScope>
        <pivotArea dataOnly="0" outline="0" fieldPosition="0">
          <references count="1">
            <reference field="4294967294" count="1" selected="0">
              <x v="0"/>
            </reference>
          </references>
        </pivotArea>
      </autoSortScope>
    </pivotField>
    <pivotField showAll="0"/>
    <pivotField showAll="0"/>
    <pivotField showAll="0">
      <items count="8">
        <item x="3"/>
        <item x="5"/>
        <item x="1"/>
        <item x="2"/>
        <item x="4"/>
        <item x="6"/>
        <item x="0"/>
        <item t="default"/>
      </items>
    </pivotField>
    <pivotField showAll="0"/>
    <pivotField showAll="0"/>
    <pivotField dataField="1" showAll="0"/>
    <pivotField showAll="0"/>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h="1" x="0"/>
        <item h="1" x="1"/>
        <item h="1" x="2"/>
        <item h="1" x="3"/>
        <item x="4"/>
        <item h="1" x="5"/>
        <item h="1" x="6"/>
        <item h="1" x="7"/>
        <item h="1" x="8"/>
        <item h="1" x="9"/>
        <item h="1" x="10"/>
        <item h="1" x="11"/>
        <item h="1" x="12"/>
        <item h="1" x="13"/>
        <item t="default"/>
      </items>
    </pivotField>
  </pivotFields>
  <rowFields count="1">
    <field x="3"/>
  </rowFields>
  <rowItems count="2">
    <i>
      <x v="3"/>
    </i>
    <i t="grand">
      <x/>
    </i>
  </rowItems>
  <colItems count="1">
    <i/>
  </colItems>
  <dataFields count="1">
    <dataField name="Sum of Amount ($)" fld="9" baseField="0" baseItem="0" numFmtId="164"/>
  </dataFields>
  <formats count="1">
    <format dxfId="190">
      <pivotArea collapsedLevelsAreSubtotals="1" fieldPosition="0">
        <references count="1">
          <reference field="3" count="1">
            <x v="3"/>
          </reference>
        </references>
      </pivotArea>
    </format>
  </formats>
  <pivotTableStyleInfo name="PivotStyleLight16" showRowHeaders="1" showColHeaders="1" showRowStripes="0" showColStripes="0" showLastColumn="1"/>
  <filters count="2">
    <filter fld="0" type="dateBetween" evalOrder="-1" id="942" name="Date">
      <autoFilter ref="A1">
        <filterColumn colId="0">
          <customFilters and="1">
            <customFilter operator="greaterThanOrEqual" val="44743"/>
            <customFilter operator="lessThanOrEqual" val="44773"/>
          </customFilters>
        </filterColumn>
      </autoFilter>
      <extLst>
        <ext xmlns:x15="http://schemas.microsoft.com/office/spreadsheetml/2010/11/main" uri="{0605FD5F-26C8-4aeb-8148-2DB25E43C511}">
          <x15:pivotFilter useWholeDay="1"/>
        </ext>
      </extLst>
    </filter>
    <filter fld="3" type="count" evalOrder="-1" id="932" iMeasureFld="0">
      <autoFilter ref="A1">
        <filterColumn colId="0">
          <top10 val="1" filterVal="1"/>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5880042-40EE-4190-B617-7A47F5AB859F}" name="PivotTable10"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8">
  <location ref="L19:M24" firstHeaderRow="1" firstDataRow="1" firstDataCol="1"/>
  <pivotFields count="14">
    <pivotField numFmtId="14" showAll="0">
      <items count="192">
        <item x="114"/>
        <item x="15"/>
        <item x="57"/>
        <item x="109"/>
        <item x="180"/>
        <item x="159"/>
        <item x="5"/>
        <item x="59"/>
        <item x="167"/>
        <item x="106"/>
        <item x="3"/>
        <item x="26"/>
        <item x="63"/>
        <item x="95"/>
        <item x="184"/>
        <item x="131"/>
        <item x="166"/>
        <item x="79"/>
        <item x="67"/>
        <item x="144"/>
        <item x="152"/>
        <item x="164"/>
        <item x="65"/>
        <item x="52"/>
        <item x="133"/>
        <item x="78"/>
        <item x="21"/>
        <item x="168"/>
        <item x="87"/>
        <item x="161"/>
        <item x="61"/>
        <item x="82"/>
        <item x="60"/>
        <item x="96"/>
        <item x="149"/>
        <item x="121"/>
        <item x="24"/>
        <item x="188"/>
        <item x="20"/>
        <item x="163"/>
        <item x="175"/>
        <item x="176"/>
        <item x="125"/>
        <item x="160"/>
        <item x="130"/>
        <item x="36"/>
        <item x="179"/>
        <item x="11"/>
        <item x="41"/>
        <item x="88"/>
        <item x="89"/>
        <item x="30"/>
        <item x="25"/>
        <item x="182"/>
        <item x="45"/>
        <item x="66"/>
        <item x="18"/>
        <item x="97"/>
        <item x="138"/>
        <item x="129"/>
        <item x="140"/>
        <item x="62"/>
        <item x="32"/>
        <item x="108"/>
        <item x="64"/>
        <item x="48"/>
        <item x="111"/>
        <item x="53"/>
        <item x="17"/>
        <item x="49"/>
        <item x="92"/>
        <item x="158"/>
        <item x="7"/>
        <item x="119"/>
        <item x="116"/>
        <item x="162"/>
        <item x="77"/>
        <item x="113"/>
        <item x="39"/>
        <item x="68"/>
        <item x="118"/>
        <item x="1"/>
        <item x="85"/>
        <item x="150"/>
        <item x="22"/>
        <item x="151"/>
        <item x="71"/>
        <item x="181"/>
        <item x="43"/>
        <item x="143"/>
        <item x="12"/>
        <item x="128"/>
        <item x="156"/>
        <item x="33"/>
        <item x="186"/>
        <item x="171"/>
        <item x="98"/>
        <item x="91"/>
        <item x="183"/>
        <item x="94"/>
        <item x="14"/>
        <item x="37"/>
        <item x="23"/>
        <item x="185"/>
        <item x="58"/>
        <item x="187"/>
        <item x="115"/>
        <item x="110"/>
        <item x="146"/>
        <item x="72"/>
        <item x="172"/>
        <item x="56"/>
        <item x="170"/>
        <item x="136"/>
        <item x="74"/>
        <item x="86"/>
        <item x="44"/>
        <item x="157"/>
        <item x="190"/>
        <item x="29"/>
        <item x="54"/>
        <item x="31"/>
        <item x="153"/>
        <item x="38"/>
        <item x="0"/>
        <item x="102"/>
        <item x="103"/>
        <item x="137"/>
        <item x="169"/>
        <item x="42"/>
        <item x="34"/>
        <item x="8"/>
        <item x="99"/>
        <item x="178"/>
        <item x="112"/>
        <item x="165"/>
        <item x="73"/>
        <item x="154"/>
        <item x="132"/>
        <item x="104"/>
        <item x="46"/>
        <item x="127"/>
        <item x="35"/>
        <item x="27"/>
        <item x="19"/>
        <item x="93"/>
        <item x="70"/>
        <item x="47"/>
        <item x="139"/>
        <item x="69"/>
        <item x="126"/>
        <item x="10"/>
        <item x="76"/>
        <item x="100"/>
        <item x="40"/>
        <item x="148"/>
        <item x="120"/>
        <item x="51"/>
        <item x="4"/>
        <item x="81"/>
        <item x="147"/>
        <item x="13"/>
        <item x="122"/>
        <item x="173"/>
        <item x="75"/>
        <item x="2"/>
        <item x="105"/>
        <item x="124"/>
        <item x="28"/>
        <item x="9"/>
        <item x="117"/>
        <item x="174"/>
        <item x="142"/>
        <item x="135"/>
        <item x="83"/>
        <item x="141"/>
        <item x="90"/>
        <item x="107"/>
        <item x="177"/>
        <item x="16"/>
        <item x="80"/>
        <item x="155"/>
        <item x="50"/>
        <item x="123"/>
        <item x="134"/>
        <item x="6"/>
        <item x="145"/>
        <item x="55"/>
        <item x="101"/>
        <item x="84"/>
        <item x="189"/>
        <item t="default"/>
      </items>
    </pivotField>
    <pivotField showAll="0"/>
    <pivotField showAll="0">
      <items count="6">
        <item x="4"/>
        <item x="1"/>
        <item x="2"/>
        <item x="0"/>
        <item x="3"/>
        <item t="default"/>
      </items>
    </pivotField>
    <pivotField showAll="0" sortType="descending">
      <items count="8">
        <item x="3"/>
        <item x="4"/>
        <item x="6"/>
        <item x="0"/>
        <item x="5"/>
        <item x="2"/>
        <item x="1"/>
        <item t="default"/>
      </items>
      <autoSortScope>
        <pivotArea dataOnly="0" outline="0" fieldPosition="0">
          <references count="1">
            <reference field="4294967294" count="1" selected="0">
              <x v="0"/>
            </reference>
          </references>
        </pivotArea>
      </autoSortScope>
    </pivotField>
    <pivotField showAll="0"/>
    <pivotField showAll="0"/>
    <pivotField showAll="0">
      <items count="8">
        <item x="3"/>
        <item x="5"/>
        <item x="1"/>
        <item x="2"/>
        <item x="4"/>
        <item x="6"/>
        <item x="0"/>
        <item t="default"/>
      </items>
    </pivotField>
    <pivotField showAll="0"/>
    <pivotField showAll="0"/>
    <pivotField dataField="1" showAll="0"/>
    <pivotField axis="axisRow" showAll="0">
      <items count="5">
        <item x="0"/>
        <item x="1"/>
        <item x="3"/>
        <item x="2"/>
        <item t="default"/>
      </items>
    </pivotField>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h="1" sd="0" x="0"/>
        <item h="1" sd="0" x="1"/>
        <item h="1" sd="0" x="2"/>
        <item h="1" sd="0" x="3"/>
        <item sd="0" x="4"/>
        <item h="1" sd="0" x="5"/>
        <item h="1" sd="0" x="6"/>
        <item h="1" sd="0" x="7"/>
        <item h="1" sd="0" x="8"/>
        <item h="1" sd="0" x="9"/>
        <item h="1" sd="0" x="10"/>
        <item h="1" sd="0" x="11"/>
        <item h="1" sd="0" x="12"/>
        <item h="1" sd="0" x="13"/>
        <item t="default"/>
      </items>
    </pivotField>
  </pivotFields>
  <rowFields count="1">
    <field x="10"/>
  </rowFields>
  <rowItems count="5">
    <i>
      <x/>
    </i>
    <i>
      <x v="1"/>
    </i>
    <i>
      <x v="2"/>
    </i>
    <i>
      <x v="3"/>
    </i>
    <i t="grand">
      <x/>
    </i>
  </rowItems>
  <colItems count="1">
    <i/>
  </colItems>
  <dataFields count="1">
    <dataField name="Sum of Amount ($)" fld="9" baseField="0" baseItem="0" numFmtId="166"/>
  </dataFields>
  <formats count="6">
    <format dxfId="196">
      <pivotArea type="all" dataOnly="0" outline="0" fieldPosition="0"/>
    </format>
    <format dxfId="195">
      <pivotArea outline="0" collapsedLevelsAreSubtotals="1" fieldPosition="0"/>
    </format>
    <format dxfId="194">
      <pivotArea field="10" type="button" dataOnly="0" labelOnly="1" outline="0" axis="axisRow" fieldPosition="0"/>
    </format>
    <format dxfId="193">
      <pivotArea dataOnly="0" labelOnly="1" fieldPosition="0">
        <references count="1">
          <reference field="10" count="0"/>
        </references>
      </pivotArea>
    </format>
    <format dxfId="192">
      <pivotArea dataOnly="0" labelOnly="1" grandRow="1" outline="0" fieldPosition="0"/>
    </format>
    <format dxfId="191">
      <pivotArea dataOnly="0" labelOnly="1" outline="0" axis="axisValues" fieldPosition="0"/>
    </format>
  </formats>
  <chartFormats count="5">
    <chartFormat chart="3" format="10" series="1">
      <pivotArea type="data" outline="0" fieldPosition="0">
        <references count="1">
          <reference field="4294967294" count="1" selected="0">
            <x v="0"/>
          </reference>
        </references>
      </pivotArea>
    </chartFormat>
    <chartFormat chart="3" format="11">
      <pivotArea type="data" outline="0" fieldPosition="0">
        <references count="2">
          <reference field="4294967294" count="1" selected="0">
            <x v="0"/>
          </reference>
          <reference field="10" count="1" selected="0">
            <x v="0"/>
          </reference>
        </references>
      </pivotArea>
    </chartFormat>
    <chartFormat chart="3" format="12">
      <pivotArea type="data" outline="0" fieldPosition="0">
        <references count="2">
          <reference field="4294967294" count="1" selected="0">
            <x v="0"/>
          </reference>
          <reference field="10" count="1" selected="0">
            <x v="1"/>
          </reference>
        </references>
      </pivotArea>
    </chartFormat>
    <chartFormat chart="3" format="13">
      <pivotArea type="data" outline="0" fieldPosition="0">
        <references count="2">
          <reference field="4294967294" count="1" selected="0">
            <x v="0"/>
          </reference>
          <reference field="10" count="1" selected="0">
            <x v="2"/>
          </reference>
        </references>
      </pivotArea>
    </chartFormat>
    <chartFormat chart="3" format="14">
      <pivotArea type="data" outline="0" fieldPosition="0">
        <references count="2">
          <reference field="4294967294" count="1" selected="0">
            <x v="0"/>
          </reference>
          <reference field="10"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28F52F0-C3AB-4313-BCBD-FCDAD9FF748C}" name="PivotTable1"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F7:F8" firstHeaderRow="1" firstDataRow="1" firstDataCol="0"/>
  <pivotFields count="14">
    <pivotField numFmtId="14" showAll="0">
      <items count="192">
        <item x="114"/>
        <item x="15"/>
        <item x="57"/>
        <item x="109"/>
        <item x="180"/>
        <item x="159"/>
        <item x="5"/>
        <item x="59"/>
        <item x="167"/>
        <item x="106"/>
        <item x="3"/>
        <item x="26"/>
        <item x="63"/>
        <item x="95"/>
        <item x="184"/>
        <item x="131"/>
        <item x="166"/>
        <item x="79"/>
        <item x="67"/>
        <item x="144"/>
        <item x="152"/>
        <item x="164"/>
        <item x="65"/>
        <item x="52"/>
        <item x="133"/>
        <item x="78"/>
        <item x="21"/>
        <item x="168"/>
        <item x="87"/>
        <item x="161"/>
        <item x="61"/>
        <item x="82"/>
        <item x="60"/>
        <item x="96"/>
        <item x="149"/>
        <item x="121"/>
        <item x="24"/>
        <item x="188"/>
        <item x="20"/>
        <item x="163"/>
        <item x="175"/>
        <item x="176"/>
        <item x="125"/>
        <item x="160"/>
        <item x="130"/>
        <item x="36"/>
        <item x="179"/>
        <item x="11"/>
        <item x="41"/>
        <item x="88"/>
        <item x="89"/>
        <item x="30"/>
        <item x="25"/>
        <item x="182"/>
        <item x="45"/>
        <item x="66"/>
        <item x="18"/>
        <item x="97"/>
        <item x="138"/>
        <item x="129"/>
        <item x="140"/>
        <item x="62"/>
        <item x="32"/>
        <item x="108"/>
        <item x="64"/>
        <item x="48"/>
        <item x="111"/>
        <item x="53"/>
        <item x="17"/>
        <item x="49"/>
        <item x="92"/>
        <item x="158"/>
        <item x="7"/>
        <item x="119"/>
        <item x="116"/>
        <item x="162"/>
        <item x="77"/>
        <item x="113"/>
        <item x="39"/>
        <item x="68"/>
        <item x="118"/>
        <item x="1"/>
        <item x="85"/>
        <item x="150"/>
        <item x="22"/>
        <item x="151"/>
        <item x="71"/>
        <item x="181"/>
        <item x="43"/>
        <item x="143"/>
        <item x="12"/>
        <item x="128"/>
        <item x="156"/>
        <item x="33"/>
        <item x="186"/>
        <item x="171"/>
        <item x="98"/>
        <item x="91"/>
        <item x="183"/>
        <item x="94"/>
        <item x="14"/>
        <item x="37"/>
        <item x="23"/>
        <item x="185"/>
        <item x="58"/>
        <item x="187"/>
        <item x="115"/>
        <item x="110"/>
        <item x="146"/>
        <item x="72"/>
        <item x="172"/>
        <item x="56"/>
        <item x="170"/>
        <item x="136"/>
        <item x="74"/>
        <item x="86"/>
        <item x="44"/>
        <item x="157"/>
        <item x="190"/>
        <item x="29"/>
        <item x="54"/>
        <item x="31"/>
        <item x="153"/>
        <item x="38"/>
        <item x="0"/>
        <item x="102"/>
        <item x="103"/>
        <item x="137"/>
        <item x="169"/>
        <item x="42"/>
        <item x="34"/>
        <item x="8"/>
        <item x="99"/>
        <item x="178"/>
        <item x="112"/>
        <item x="165"/>
        <item x="73"/>
        <item x="154"/>
        <item x="132"/>
        <item x="104"/>
        <item x="46"/>
        <item x="127"/>
        <item x="35"/>
        <item x="27"/>
        <item x="19"/>
        <item x="93"/>
        <item x="70"/>
        <item x="47"/>
        <item x="139"/>
        <item x="69"/>
        <item x="126"/>
        <item x="10"/>
        <item x="76"/>
        <item x="100"/>
        <item x="40"/>
        <item x="148"/>
        <item x="120"/>
        <item x="51"/>
        <item x="4"/>
        <item x="81"/>
        <item x="147"/>
        <item x="13"/>
        <item x="122"/>
        <item x="173"/>
        <item x="75"/>
        <item x="2"/>
        <item x="105"/>
        <item x="124"/>
        <item x="28"/>
        <item x="9"/>
        <item x="117"/>
        <item x="174"/>
        <item x="142"/>
        <item x="135"/>
        <item x="83"/>
        <item x="141"/>
        <item x="90"/>
        <item x="107"/>
        <item x="177"/>
        <item x="16"/>
        <item x="80"/>
        <item x="155"/>
        <item x="50"/>
        <item x="123"/>
        <item x="134"/>
        <item x="6"/>
        <item x="145"/>
        <item x="55"/>
        <item x="101"/>
        <item x="84"/>
        <item x="189"/>
        <item t="default"/>
      </items>
    </pivotField>
    <pivotField showAll="0"/>
    <pivotField showAll="0">
      <items count="6">
        <item x="4"/>
        <item x="1"/>
        <item x="2"/>
        <item x="0"/>
        <item x="3"/>
        <item t="default"/>
      </items>
    </pivotField>
    <pivotField showAll="0">
      <items count="8">
        <item x="3"/>
        <item x="4"/>
        <item x="6"/>
        <item x="0"/>
        <item x="5"/>
        <item x="2"/>
        <item x="1"/>
        <item t="default"/>
      </items>
    </pivotField>
    <pivotField showAll="0"/>
    <pivotField showAll="0"/>
    <pivotField showAll="0">
      <items count="8">
        <item x="3"/>
        <item x="5"/>
        <item x="1"/>
        <item x="2"/>
        <item x="4"/>
        <item x="6"/>
        <item x="0"/>
        <item t="default"/>
      </items>
    </pivotField>
    <pivotField showAll="0"/>
    <pivotField showAll="0"/>
    <pivotField dataField="1" showAll="0"/>
    <pivotField showAll="0"/>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h="1" x="0"/>
        <item h="1" x="1"/>
        <item h="1" x="2"/>
        <item h="1" x="3"/>
        <item x="4"/>
        <item h="1" x="5"/>
        <item h="1" x="6"/>
        <item h="1" x="7"/>
        <item h="1" x="8"/>
        <item h="1" x="9"/>
        <item h="1" x="10"/>
        <item h="1" x="11"/>
        <item h="1" x="12"/>
        <item h="1" x="13"/>
        <item t="default"/>
      </items>
    </pivotField>
  </pivotFields>
  <rowItems count="1">
    <i/>
  </rowItems>
  <colItems count="1">
    <i/>
  </colItems>
  <dataFields count="1">
    <dataField name="Sum of Amount ($)" fld="9" baseField="0" baseItem="0" numFmtId="165"/>
  </dataFields>
  <formats count="1">
    <format dxfId="19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7A555D4-39E4-4123-A6D8-3523647074BA}" name="PivotTable7"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9">
  <location ref="I7:J16" firstHeaderRow="1" firstDataRow="1" firstDataCol="1"/>
  <pivotFields count="14">
    <pivotField numFmtId="14" showAll="0">
      <items count="192">
        <item x="114"/>
        <item x="15"/>
        <item x="57"/>
        <item x="109"/>
        <item x="180"/>
        <item x="159"/>
        <item x="5"/>
        <item x="59"/>
        <item x="167"/>
        <item x="106"/>
        <item x="3"/>
        <item x="26"/>
        <item x="63"/>
        <item x="95"/>
        <item x="184"/>
        <item x="131"/>
        <item x="166"/>
        <item x="79"/>
        <item x="67"/>
        <item x="144"/>
        <item x="152"/>
        <item x="164"/>
        <item x="65"/>
        <item x="52"/>
        <item x="133"/>
        <item x="78"/>
        <item x="21"/>
        <item x="168"/>
        <item x="87"/>
        <item x="161"/>
        <item x="61"/>
        <item x="82"/>
        <item x="60"/>
        <item x="96"/>
        <item x="149"/>
        <item x="121"/>
        <item x="24"/>
        <item x="188"/>
        <item x="20"/>
        <item x="163"/>
        <item x="175"/>
        <item x="176"/>
        <item x="125"/>
        <item x="160"/>
        <item x="130"/>
        <item x="36"/>
        <item x="179"/>
        <item x="11"/>
        <item x="41"/>
        <item x="88"/>
        <item x="89"/>
        <item x="30"/>
        <item x="25"/>
        <item x="182"/>
        <item x="45"/>
        <item x="66"/>
        <item x="18"/>
        <item x="97"/>
        <item x="138"/>
        <item x="129"/>
        <item x="140"/>
        <item x="62"/>
        <item x="32"/>
        <item x="108"/>
        <item x="64"/>
        <item x="48"/>
        <item x="111"/>
        <item x="53"/>
        <item x="17"/>
        <item x="49"/>
        <item x="92"/>
        <item x="158"/>
        <item x="7"/>
        <item x="119"/>
        <item x="116"/>
        <item x="162"/>
        <item x="77"/>
        <item x="113"/>
        <item x="39"/>
        <item x="68"/>
        <item x="118"/>
        <item x="1"/>
        <item x="85"/>
        <item x="150"/>
        <item x="22"/>
        <item x="151"/>
        <item x="71"/>
        <item x="181"/>
        <item x="43"/>
        <item x="143"/>
        <item x="12"/>
        <item x="128"/>
        <item x="156"/>
        <item x="33"/>
        <item x="186"/>
        <item x="171"/>
        <item x="98"/>
        <item x="91"/>
        <item x="183"/>
        <item x="94"/>
        <item x="14"/>
        <item x="37"/>
        <item x="23"/>
        <item x="185"/>
        <item x="58"/>
        <item x="187"/>
        <item x="115"/>
        <item x="110"/>
        <item x="146"/>
        <item x="72"/>
        <item x="172"/>
        <item x="56"/>
        <item x="170"/>
        <item x="136"/>
        <item x="74"/>
        <item x="86"/>
        <item x="44"/>
        <item x="157"/>
        <item x="190"/>
        <item x="29"/>
        <item x="54"/>
        <item x="31"/>
        <item x="153"/>
        <item x="38"/>
        <item x="0"/>
        <item x="102"/>
        <item x="103"/>
        <item x="137"/>
        <item x="169"/>
        <item x="42"/>
        <item x="34"/>
        <item x="8"/>
        <item x="99"/>
        <item x="178"/>
        <item x="112"/>
        <item x="165"/>
        <item x="73"/>
        <item x="154"/>
        <item x="132"/>
        <item x="104"/>
        <item x="46"/>
        <item x="127"/>
        <item x="35"/>
        <item x="27"/>
        <item x="19"/>
        <item x="93"/>
        <item x="70"/>
        <item x="47"/>
        <item x="139"/>
        <item x="69"/>
        <item x="126"/>
        <item x="10"/>
        <item x="76"/>
        <item x="100"/>
        <item x="40"/>
        <item x="148"/>
        <item x="120"/>
        <item x="51"/>
        <item x="4"/>
        <item x="81"/>
        <item x="147"/>
        <item x="13"/>
        <item x="122"/>
        <item x="173"/>
        <item x="75"/>
        <item x="2"/>
        <item x="105"/>
        <item x="124"/>
        <item x="28"/>
        <item x="9"/>
        <item x="117"/>
        <item x="174"/>
        <item x="142"/>
        <item x="135"/>
        <item x="83"/>
        <item x="141"/>
        <item x="90"/>
        <item x="107"/>
        <item x="177"/>
        <item x="16"/>
        <item x="80"/>
        <item x="155"/>
        <item x="50"/>
        <item x="123"/>
        <item x="134"/>
        <item x="6"/>
        <item x="145"/>
        <item x="55"/>
        <item x="101"/>
        <item x="84"/>
        <item x="189"/>
        <item t="default"/>
      </items>
    </pivotField>
    <pivotField showAll="0"/>
    <pivotField showAll="0">
      <items count="6">
        <item x="4"/>
        <item x="1"/>
        <item x="2"/>
        <item x="0"/>
        <item x="3"/>
        <item t="default"/>
      </items>
    </pivotField>
    <pivotField showAll="0">
      <items count="8">
        <item x="3"/>
        <item x="4"/>
        <item x="6"/>
        <item x="0"/>
        <item x="5"/>
        <item x="2"/>
        <item x="1"/>
        <item t="default"/>
      </items>
    </pivotField>
    <pivotField showAll="0"/>
    <pivotField showAll="0"/>
    <pivotField showAll="0">
      <items count="8">
        <item x="3"/>
        <item x="5"/>
        <item x="1"/>
        <item x="2"/>
        <item x="4"/>
        <item x="6"/>
        <item x="0"/>
        <item t="default"/>
      </items>
    </pivotField>
    <pivotField showAll="0"/>
    <pivotField showAll="0"/>
    <pivotField dataField="1" showAll="0"/>
    <pivotField showAll="0"/>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Row" multipleItemSelectionAllowed="1" showAll="0">
      <items count="15">
        <item sd="0" x="0"/>
        <item sd="0" x="1"/>
        <item sd="0" x="2"/>
        <item sd="0" x="3"/>
        <item sd="0" x="4"/>
        <item sd="0" x="5"/>
        <item sd="0" x="6"/>
        <item sd="0" x="7"/>
        <item sd="0" x="8"/>
        <item sd="0" x="9"/>
        <item sd="0" x="10"/>
        <item sd="0" x="11"/>
        <item sd="0" x="12"/>
        <item sd="0" x="13"/>
        <item t="default"/>
      </items>
    </pivotField>
  </pivotFields>
  <rowFields count="1">
    <field x="13"/>
  </rowFields>
  <rowItems count="9">
    <i>
      <x v="1"/>
    </i>
    <i>
      <x v="2"/>
    </i>
    <i>
      <x v="3"/>
    </i>
    <i>
      <x v="4"/>
    </i>
    <i>
      <x v="5"/>
    </i>
    <i>
      <x v="6"/>
    </i>
    <i>
      <x v="7"/>
    </i>
    <i>
      <x v="8"/>
    </i>
    <i t="grand">
      <x/>
    </i>
  </rowItems>
  <colItems count="1">
    <i/>
  </colItems>
  <dataFields count="1">
    <dataField name="Sum of Amount ($)" fld="9" baseField="0" baseItem="0" numFmtId="166"/>
  </dataFields>
  <formats count="6">
    <format dxfId="203">
      <pivotArea type="all" dataOnly="0" outline="0" fieldPosition="0"/>
    </format>
    <format dxfId="202">
      <pivotArea outline="0" collapsedLevelsAreSubtotals="1" fieldPosition="0"/>
    </format>
    <format dxfId="201">
      <pivotArea field="13" type="button" dataOnly="0" labelOnly="1" outline="0" axis="axisRow" fieldPosition="0"/>
    </format>
    <format dxfId="200">
      <pivotArea dataOnly="0" labelOnly="1" fieldPosition="0">
        <references count="1">
          <reference field="13" count="8">
            <x v="1"/>
            <x v="2"/>
            <x v="3"/>
            <x v="4"/>
            <x v="5"/>
            <x v="6"/>
            <x v="7"/>
            <x v="8"/>
          </reference>
        </references>
      </pivotArea>
    </format>
    <format dxfId="199">
      <pivotArea dataOnly="0" labelOnly="1" grandRow="1" outline="0" fieldPosition="0"/>
    </format>
    <format dxfId="198">
      <pivotArea dataOnly="0" labelOnly="1" outline="0" axis="axisValues" fieldPosition="0"/>
    </format>
  </format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DF6A356-FB38-4C9A-BE19-CB3D16D2BF12}" name="PivotTable8"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9">
  <location ref="L7:M15" firstHeaderRow="1" firstDataRow="1" firstDataCol="1"/>
  <pivotFields count="14">
    <pivotField numFmtId="14" showAll="0">
      <items count="192">
        <item x="114"/>
        <item x="15"/>
        <item x="57"/>
        <item x="109"/>
        <item x="180"/>
        <item x="159"/>
        <item x="5"/>
        <item x="59"/>
        <item x="167"/>
        <item x="106"/>
        <item x="3"/>
        <item x="26"/>
        <item x="63"/>
        <item x="95"/>
        <item x="184"/>
        <item x="131"/>
        <item x="166"/>
        <item x="79"/>
        <item x="67"/>
        <item x="144"/>
        <item x="152"/>
        <item x="164"/>
        <item x="65"/>
        <item x="52"/>
        <item x="133"/>
        <item x="78"/>
        <item x="21"/>
        <item x="168"/>
        <item x="87"/>
        <item x="161"/>
        <item x="61"/>
        <item x="82"/>
        <item x="60"/>
        <item x="96"/>
        <item x="149"/>
        <item x="121"/>
        <item x="24"/>
        <item x="188"/>
        <item x="20"/>
        <item x="163"/>
        <item x="175"/>
        <item x="176"/>
        <item x="125"/>
        <item x="160"/>
        <item x="130"/>
        <item x="36"/>
        <item x="179"/>
        <item x="11"/>
        <item x="41"/>
        <item x="88"/>
        <item x="89"/>
        <item x="30"/>
        <item x="25"/>
        <item x="182"/>
        <item x="45"/>
        <item x="66"/>
        <item x="18"/>
        <item x="97"/>
        <item x="138"/>
        <item x="129"/>
        <item x="140"/>
        <item x="62"/>
        <item x="32"/>
        <item x="108"/>
        <item x="64"/>
        <item x="48"/>
        <item x="111"/>
        <item x="53"/>
        <item x="17"/>
        <item x="49"/>
        <item x="92"/>
        <item x="158"/>
        <item x="7"/>
        <item x="119"/>
        <item x="116"/>
        <item x="162"/>
        <item x="77"/>
        <item x="113"/>
        <item x="39"/>
        <item x="68"/>
        <item x="118"/>
        <item x="1"/>
        <item x="85"/>
        <item x="150"/>
        <item x="22"/>
        <item x="151"/>
        <item x="71"/>
        <item x="181"/>
        <item x="43"/>
        <item x="143"/>
        <item x="12"/>
        <item x="128"/>
        <item x="156"/>
        <item x="33"/>
        <item x="186"/>
        <item x="171"/>
        <item x="98"/>
        <item x="91"/>
        <item x="183"/>
        <item x="94"/>
        <item x="14"/>
        <item x="37"/>
        <item x="23"/>
        <item x="185"/>
        <item x="58"/>
        <item x="187"/>
        <item x="115"/>
        <item x="110"/>
        <item x="146"/>
        <item x="72"/>
        <item x="172"/>
        <item x="56"/>
        <item x="170"/>
        <item x="136"/>
        <item x="74"/>
        <item x="86"/>
        <item x="44"/>
        <item x="157"/>
        <item x="190"/>
        <item x="29"/>
        <item x="54"/>
        <item x="31"/>
        <item x="153"/>
        <item x="38"/>
        <item x="0"/>
        <item x="102"/>
        <item x="103"/>
        <item x="137"/>
        <item x="169"/>
        <item x="42"/>
        <item x="34"/>
        <item x="8"/>
        <item x="99"/>
        <item x="178"/>
        <item x="112"/>
        <item x="165"/>
        <item x="73"/>
        <item x="154"/>
        <item x="132"/>
        <item x="104"/>
        <item x="46"/>
        <item x="127"/>
        <item x="35"/>
        <item x="27"/>
        <item x="19"/>
        <item x="93"/>
        <item x="70"/>
        <item x="47"/>
        <item x="139"/>
        <item x="69"/>
        <item x="126"/>
        <item x="10"/>
        <item x="76"/>
        <item x="100"/>
        <item x="40"/>
        <item x="148"/>
        <item x="120"/>
        <item x="51"/>
        <item x="4"/>
        <item x="81"/>
        <item x="147"/>
        <item x="13"/>
        <item x="122"/>
        <item x="173"/>
        <item x="75"/>
        <item x="2"/>
        <item x="105"/>
        <item x="124"/>
        <item x="28"/>
        <item x="9"/>
        <item x="117"/>
        <item x="174"/>
        <item x="142"/>
        <item x="135"/>
        <item x="83"/>
        <item x="141"/>
        <item x="90"/>
        <item x="107"/>
        <item x="177"/>
        <item x="16"/>
        <item x="80"/>
        <item x="155"/>
        <item x="50"/>
        <item x="123"/>
        <item x="134"/>
        <item x="6"/>
        <item x="145"/>
        <item x="55"/>
        <item x="101"/>
        <item x="84"/>
        <item x="189"/>
        <item t="default"/>
      </items>
    </pivotField>
    <pivotField showAll="0"/>
    <pivotField showAll="0">
      <items count="6">
        <item x="4"/>
        <item x="1"/>
        <item x="2"/>
        <item x="0"/>
        <item x="3"/>
        <item t="default"/>
      </items>
    </pivotField>
    <pivotField showAll="0">
      <items count="8">
        <item x="3"/>
        <item x="4"/>
        <item x="6"/>
        <item x="0"/>
        <item x="5"/>
        <item x="2"/>
        <item x="1"/>
        <item t="default"/>
      </items>
    </pivotField>
    <pivotField showAll="0"/>
    <pivotField showAll="0"/>
    <pivotField axis="axisRow" showAll="0" sortType="ascending">
      <items count="8">
        <item x="3"/>
        <item x="5"/>
        <item x="1"/>
        <item x="2"/>
        <item x="4"/>
        <item x="6"/>
        <item x="0"/>
        <item t="default"/>
      </items>
      <autoSortScope>
        <pivotArea dataOnly="0" outline="0" fieldPosition="0">
          <references count="1">
            <reference field="4294967294" count="1" selected="0">
              <x v="0"/>
            </reference>
          </references>
        </pivotArea>
      </autoSortScope>
    </pivotField>
    <pivotField showAll="0"/>
    <pivotField showAll="0"/>
    <pivotField dataField="1" showAll="0"/>
    <pivotField showAll="0"/>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h="1" sd="0" x="0"/>
        <item h="1" sd="0" x="1"/>
        <item h="1" sd="0" x="2"/>
        <item h="1" sd="0" x="3"/>
        <item sd="0" x="4"/>
        <item h="1" sd="0" x="5"/>
        <item h="1" sd="0" x="6"/>
        <item h="1" sd="0" x="7"/>
        <item h="1" sd="0" x="8"/>
        <item h="1" sd="0" x="9"/>
        <item h="1" sd="0" x="10"/>
        <item h="1" sd="0" x="11"/>
        <item h="1" sd="0" x="12"/>
        <item h="1" sd="0" x="13"/>
        <item t="default"/>
      </items>
    </pivotField>
  </pivotFields>
  <rowFields count="1">
    <field x="6"/>
  </rowFields>
  <rowItems count="8">
    <i>
      <x v="3"/>
    </i>
    <i>
      <x/>
    </i>
    <i>
      <x v="6"/>
    </i>
    <i>
      <x v="5"/>
    </i>
    <i>
      <x v="2"/>
    </i>
    <i>
      <x v="1"/>
    </i>
    <i>
      <x v="4"/>
    </i>
    <i t="grand">
      <x/>
    </i>
  </rowItems>
  <colItems count="1">
    <i/>
  </colItems>
  <dataFields count="1">
    <dataField name="Sum of Amount ($)" fld="9" baseField="0" baseItem="0" numFmtId="166"/>
  </dataFields>
  <formats count="6">
    <format dxfId="209">
      <pivotArea type="all" dataOnly="0" outline="0" fieldPosition="0"/>
    </format>
    <format dxfId="208">
      <pivotArea outline="0" collapsedLevelsAreSubtotals="1" fieldPosition="0"/>
    </format>
    <format dxfId="207">
      <pivotArea field="6" type="button" dataOnly="0" labelOnly="1" outline="0" axis="axisRow" fieldPosition="0"/>
    </format>
    <format dxfId="206">
      <pivotArea dataOnly="0" labelOnly="1" fieldPosition="0">
        <references count="1">
          <reference field="6" count="0"/>
        </references>
      </pivotArea>
    </format>
    <format dxfId="205">
      <pivotArea dataOnly="0" labelOnly="1" grandRow="1" outline="0" fieldPosition="0"/>
    </format>
    <format dxfId="204">
      <pivotArea dataOnly="0" labelOnly="1" outline="0" axis="axisValues" fieldPosition="0"/>
    </format>
  </formats>
  <chartFormats count="8">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6" count="1" selected="0">
            <x v="3"/>
          </reference>
        </references>
      </pivotArea>
    </chartFormat>
    <chartFormat chart="3" format="4">
      <pivotArea type="data" outline="0" fieldPosition="0">
        <references count="2">
          <reference field="4294967294" count="1" selected="0">
            <x v="0"/>
          </reference>
          <reference field="6" count="1" selected="0">
            <x v="0"/>
          </reference>
        </references>
      </pivotArea>
    </chartFormat>
    <chartFormat chart="3" format="5">
      <pivotArea type="data" outline="0" fieldPosition="0">
        <references count="2">
          <reference field="4294967294" count="1" selected="0">
            <x v="0"/>
          </reference>
          <reference field="6" count="1" selected="0">
            <x v="6"/>
          </reference>
        </references>
      </pivotArea>
    </chartFormat>
    <chartFormat chart="3" format="6">
      <pivotArea type="data" outline="0" fieldPosition="0">
        <references count="2">
          <reference field="4294967294" count="1" selected="0">
            <x v="0"/>
          </reference>
          <reference field="6" count="1" selected="0">
            <x v="5"/>
          </reference>
        </references>
      </pivotArea>
    </chartFormat>
    <chartFormat chart="3" format="7">
      <pivotArea type="data" outline="0" fieldPosition="0">
        <references count="2">
          <reference field="4294967294" count="1" selected="0">
            <x v="0"/>
          </reference>
          <reference field="6" count="1" selected="0">
            <x v="2"/>
          </reference>
        </references>
      </pivotArea>
    </chartFormat>
    <chartFormat chart="3" format="8">
      <pivotArea type="data" outline="0" fieldPosition="0">
        <references count="2">
          <reference field="4294967294" count="1" selected="0">
            <x v="0"/>
          </reference>
          <reference field="6" count="1" selected="0">
            <x v="1"/>
          </reference>
        </references>
      </pivotArea>
    </chartFormat>
    <chartFormat chart="3" format="9">
      <pivotArea type="data" outline="0" fieldPosition="0">
        <references count="2">
          <reference field="4294967294" count="1" selected="0">
            <x v="0"/>
          </reference>
          <reference field="6"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AE1B19F-EB79-42A9-BFD2-5B3E533E406B}" name="PivotTable11"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5">
  <location ref="I20:J26" firstHeaderRow="1" firstDataRow="1" firstDataCol="1"/>
  <pivotFields count="14">
    <pivotField numFmtId="14" showAll="0">
      <items count="192">
        <item x="114"/>
        <item x="15"/>
        <item x="57"/>
        <item x="109"/>
        <item x="180"/>
        <item x="159"/>
        <item x="5"/>
        <item x="59"/>
        <item x="167"/>
        <item x="106"/>
        <item x="3"/>
        <item x="26"/>
        <item x="63"/>
        <item x="95"/>
        <item x="184"/>
        <item x="131"/>
        <item x="166"/>
        <item x="79"/>
        <item x="67"/>
        <item x="144"/>
        <item x="152"/>
        <item x="164"/>
        <item x="65"/>
        <item x="52"/>
        <item x="133"/>
        <item x="78"/>
        <item x="21"/>
        <item x="168"/>
        <item x="87"/>
        <item x="161"/>
        <item x="61"/>
        <item x="82"/>
        <item x="60"/>
        <item x="96"/>
        <item x="149"/>
        <item x="121"/>
        <item x="24"/>
        <item x="188"/>
        <item x="20"/>
        <item x="163"/>
        <item x="175"/>
        <item x="176"/>
        <item x="125"/>
        <item x="160"/>
        <item x="130"/>
        <item x="36"/>
        <item x="179"/>
        <item x="11"/>
        <item x="41"/>
        <item x="88"/>
        <item x="89"/>
        <item x="30"/>
        <item x="25"/>
        <item x="182"/>
        <item x="45"/>
        <item x="66"/>
        <item x="18"/>
        <item x="97"/>
        <item x="138"/>
        <item x="129"/>
        <item x="140"/>
        <item x="62"/>
        <item x="32"/>
        <item x="108"/>
        <item x="64"/>
        <item x="48"/>
        <item x="111"/>
        <item x="53"/>
        <item x="17"/>
        <item x="49"/>
        <item x="92"/>
        <item x="158"/>
        <item x="7"/>
        <item x="119"/>
        <item x="116"/>
        <item x="162"/>
        <item x="77"/>
        <item x="113"/>
        <item x="39"/>
        <item x="68"/>
        <item x="118"/>
        <item x="1"/>
        <item x="85"/>
        <item x="150"/>
        <item x="22"/>
        <item x="151"/>
        <item x="71"/>
        <item x="181"/>
        <item x="43"/>
        <item x="143"/>
        <item x="12"/>
        <item x="128"/>
        <item x="156"/>
        <item x="33"/>
        <item x="186"/>
        <item x="171"/>
        <item x="98"/>
        <item x="91"/>
        <item x="183"/>
        <item x="94"/>
        <item x="14"/>
        <item x="37"/>
        <item x="23"/>
        <item x="185"/>
        <item x="58"/>
        <item x="187"/>
        <item x="115"/>
        <item x="110"/>
        <item x="146"/>
        <item x="72"/>
        <item x="172"/>
        <item x="56"/>
        <item x="170"/>
        <item x="136"/>
        <item x="74"/>
        <item x="86"/>
        <item x="44"/>
        <item x="157"/>
        <item x="190"/>
        <item x="29"/>
        <item x="54"/>
        <item x="31"/>
        <item x="153"/>
        <item x="38"/>
        <item x="0"/>
        <item x="102"/>
        <item x="103"/>
        <item x="137"/>
        <item x="169"/>
        <item x="42"/>
        <item x="34"/>
        <item x="8"/>
        <item x="99"/>
        <item x="178"/>
        <item x="112"/>
        <item x="165"/>
        <item x="73"/>
        <item x="154"/>
        <item x="132"/>
        <item x="104"/>
        <item x="46"/>
        <item x="127"/>
        <item x="35"/>
        <item x="27"/>
        <item x="19"/>
        <item x="93"/>
        <item x="70"/>
        <item x="47"/>
        <item x="139"/>
        <item x="69"/>
        <item x="126"/>
        <item x="10"/>
        <item x="76"/>
        <item x="100"/>
        <item x="40"/>
        <item x="148"/>
        <item x="120"/>
        <item x="51"/>
        <item x="4"/>
        <item x="81"/>
        <item x="147"/>
        <item x="13"/>
        <item x="122"/>
        <item x="173"/>
        <item x="75"/>
        <item x="2"/>
        <item x="105"/>
        <item x="124"/>
        <item x="28"/>
        <item x="9"/>
        <item x="117"/>
        <item x="174"/>
        <item x="142"/>
        <item x="135"/>
        <item x="83"/>
        <item x="141"/>
        <item x="90"/>
        <item x="107"/>
        <item x="177"/>
        <item x="16"/>
        <item x="80"/>
        <item x="155"/>
        <item x="50"/>
        <item x="123"/>
        <item x="134"/>
        <item x="6"/>
        <item x="145"/>
        <item x="55"/>
        <item x="101"/>
        <item x="84"/>
        <item x="189"/>
        <item t="default"/>
      </items>
    </pivotField>
    <pivotField showAll="0"/>
    <pivotField axis="axisRow" showAll="0">
      <items count="6">
        <item x="4"/>
        <item x="1"/>
        <item x="2"/>
        <item x="0"/>
        <item x="3"/>
        <item t="default"/>
      </items>
    </pivotField>
    <pivotField showAll="0" sortType="descending">
      <items count="8">
        <item x="3"/>
        <item x="4"/>
        <item x="6"/>
        <item x="0"/>
        <item x="5"/>
        <item x="2"/>
        <item x="1"/>
        <item t="default"/>
      </items>
      <autoSortScope>
        <pivotArea dataOnly="0" outline="0" fieldPosition="0">
          <references count="1">
            <reference field="4294967294" count="1" selected="0">
              <x v="0"/>
            </reference>
          </references>
        </pivotArea>
      </autoSortScope>
    </pivotField>
    <pivotField showAll="0"/>
    <pivotField showAll="0"/>
    <pivotField showAll="0">
      <items count="8">
        <item x="3"/>
        <item x="5"/>
        <item x="1"/>
        <item x="2"/>
        <item x="4"/>
        <item x="6"/>
        <item x="0"/>
        <item t="default"/>
      </items>
    </pivotField>
    <pivotField showAll="0"/>
    <pivotField showAll="0"/>
    <pivotField dataField="1" showAll="0"/>
    <pivotField showAll="0"/>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h="1" sd="0" x="0"/>
        <item h="1" sd="0" x="1"/>
        <item h="1" sd="0" x="2"/>
        <item h="1" sd="0" x="3"/>
        <item sd="0" x="4"/>
        <item h="1" sd="0" x="5"/>
        <item h="1" sd="0" x="6"/>
        <item h="1" sd="0" x="7"/>
        <item h="1" sd="0" x="8"/>
        <item h="1" sd="0" x="9"/>
        <item h="1" sd="0" x="10"/>
        <item h="1" sd="0" x="11"/>
        <item h="1" sd="0" x="12"/>
        <item h="1" sd="0" x="13"/>
        <item t="default"/>
      </items>
    </pivotField>
  </pivotFields>
  <rowFields count="1">
    <field x="2"/>
  </rowFields>
  <rowItems count="6">
    <i>
      <x/>
    </i>
    <i>
      <x v="1"/>
    </i>
    <i>
      <x v="2"/>
    </i>
    <i>
      <x v="3"/>
    </i>
    <i>
      <x v="4"/>
    </i>
    <i t="grand">
      <x/>
    </i>
  </rowItems>
  <colItems count="1">
    <i/>
  </colItems>
  <dataFields count="1">
    <dataField name="Sum of Amount ($)" fld="9" baseField="0" baseItem="0" numFmtId="166"/>
  </dataFields>
  <formats count="6">
    <format dxfId="215">
      <pivotArea type="all" dataOnly="0" outline="0" fieldPosition="0"/>
    </format>
    <format dxfId="214">
      <pivotArea outline="0" collapsedLevelsAreSubtotals="1" fieldPosition="0"/>
    </format>
    <format dxfId="213">
      <pivotArea field="2" type="button" dataOnly="0" labelOnly="1" outline="0" axis="axisRow" fieldPosition="0"/>
    </format>
    <format dxfId="212">
      <pivotArea dataOnly="0" labelOnly="1" fieldPosition="0">
        <references count="1">
          <reference field="2" count="0"/>
        </references>
      </pivotArea>
    </format>
    <format dxfId="211">
      <pivotArea dataOnly="0" labelOnly="1" grandRow="1" outline="0" fieldPosition="0"/>
    </format>
    <format dxfId="210">
      <pivotArea dataOnly="0" labelOnly="1" outline="0" axis="axisValues" fieldPosition="0"/>
    </format>
  </format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EF80DCB-7514-4C2E-A111-B8D0803E70FB}" name="topcountry"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F25:G27" firstHeaderRow="1" firstDataRow="1" firstDataCol="1"/>
  <pivotFields count="14">
    <pivotField numFmtId="14" showAll="0">
      <items count="192">
        <item x="114"/>
        <item x="15"/>
        <item x="57"/>
        <item x="109"/>
        <item x="180"/>
        <item x="159"/>
        <item x="5"/>
        <item x="59"/>
        <item x="167"/>
        <item x="106"/>
        <item x="3"/>
        <item x="26"/>
        <item x="63"/>
        <item x="95"/>
        <item x="184"/>
        <item x="131"/>
        <item x="166"/>
        <item x="79"/>
        <item x="67"/>
        <item x="144"/>
        <item x="152"/>
        <item x="164"/>
        <item x="65"/>
        <item x="52"/>
        <item x="133"/>
        <item x="78"/>
        <item x="21"/>
        <item x="168"/>
        <item x="87"/>
        <item x="161"/>
        <item x="61"/>
        <item x="82"/>
        <item x="60"/>
        <item x="96"/>
        <item x="149"/>
        <item x="121"/>
        <item x="24"/>
        <item x="188"/>
        <item x="20"/>
        <item x="163"/>
        <item x="175"/>
        <item x="176"/>
        <item x="125"/>
        <item x="160"/>
        <item x="130"/>
        <item x="36"/>
        <item x="179"/>
        <item x="11"/>
        <item x="41"/>
        <item x="88"/>
        <item x="89"/>
        <item x="30"/>
        <item x="25"/>
        <item x="182"/>
        <item x="45"/>
        <item x="66"/>
        <item x="18"/>
        <item x="97"/>
        <item x="138"/>
        <item x="129"/>
        <item x="140"/>
        <item x="62"/>
        <item x="32"/>
        <item x="108"/>
        <item x="64"/>
        <item x="48"/>
        <item x="111"/>
        <item x="53"/>
        <item x="17"/>
        <item x="49"/>
        <item x="92"/>
        <item x="158"/>
        <item x="7"/>
        <item x="119"/>
        <item x="116"/>
        <item x="162"/>
        <item x="77"/>
        <item x="113"/>
        <item x="39"/>
        <item x="68"/>
        <item x="118"/>
        <item x="1"/>
        <item x="85"/>
        <item x="150"/>
        <item x="22"/>
        <item x="151"/>
        <item x="71"/>
        <item x="181"/>
        <item x="43"/>
        <item x="143"/>
        <item x="12"/>
        <item x="128"/>
        <item x="156"/>
        <item x="33"/>
        <item x="186"/>
        <item x="171"/>
        <item x="98"/>
        <item x="91"/>
        <item x="183"/>
        <item x="94"/>
        <item x="14"/>
        <item x="37"/>
        <item x="23"/>
        <item x="185"/>
        <item x="58"/>
        <item x="187"/>
        <item x="115"/>
        <item x="110"/>
        <item x="146"/>
        <item x="72"/>
        <item x="172"/>
        <item x="56"/>
        <item x="170"/>
        <item x="136"/>
        <item x="74"/>
        <item x="86"/>
        <item x="44"/>
        <item x="157"/>
        <item x="190"/>
        <item x="29"/>
        <item x="54"/>
        <item x="31"/>
        <item x="153"/>
        <item x="38"/>
        <item x="0"/>
        <item x="102"/>
        <item x="103"/>
        <item x="137"/>
        <item x="169"/>
        <item x="42"/>
        <item x="34"/>
        <item x="8"/>
        <item x="99"/>
        <item x="178"/>
        <item x="112"/>
        <item x="165"/>
        <item x="73"/>
        <item x="154"/>
        <item x="132"/>
        <item x="104"/>
        <item x="46"/>
        <item x="127"/>
        <item x="35"/>
        <item x="27"/>
        <item x="19"/>
        <item x="93"/>
        <item x="70"/>
        <item x="47"/>
        <item x="139"/>
        <item x="69"/>
        <item x="126"/>
        <item x="10"/>
        <item x="76"/>
        <item x="100"/>
        <item x="40"/>
        <item x="148"/>
        <item x="120"/>
        <item x="51"/>
        <item x="4"/>
        <item x="81"/>
        <item x="147"/>
        <item x="13"/>
        <item x="122"/>
        <item x="173"/>
        <item x="75"/>
        <item x="2"/>
        <item x="105"/>
        <item x="124"/>
        <item x="28"/>
        <item x="9"/>
        <item x="117"/>
        <item x="174"/>
        <item x="142"/>
        <item x="135"/>
        <item x="83"/>
        <item x="141"/>
        <item x="90"/>
        <item x="107"/>
        <item x="177"/>
        <item x="16"/>
        <item x="80"/>
        <item x="155"/>
        <item x="50"/>
        <item x="123"/>
        <item x="134"/>
        <item x="6"/>
        <item x="145"/>
        <item x="55"/>
        <item x="101"/>
        <item x="84"/>
        <item x="189"/>
        <item t="default"/>
      </items>
    </pivotField>
    <pivotField showAll="0"/>
    <pivotField showAll="0">
      <items count="6">
        <item x="4"/>
        <item x="1"/>
        <item x="2"/>
        <item x="0"/>
        <item x="3"/>
        <item t="default"/>
      </items>
    </pivotField>
    <pivotField showAll="0">
      <items count="8">
        <item x="3"/>
        <item x="4"/>
        <item x="6"/>
        <item x="0"/>
        <item x="5"/>
        <item x="2"/>
        <item x="1"/>
        <item t="default"/>
      </items>
    </pivotField>
    <pivotField showAll="0"/>
    <pivotField showAll="0"/>
    <pivotField axis="axisRow" showAll="0" measureFilter="1" sortType="descending">
      <items count="8">
        <item x="3"/>
        <item x="5"/>
        <item x="1"/>
        <item x="2"/>
        <item x="4"/>
        <item x="6"/>
        <item x="0"/>
        <item t="default"/>
      </items>
      <autoSortScope>
        <pivotArea dataOnly="0" outline="0" fieldPosition="0">
          <references count="1">
            <reference field="4294967294" count="1" selected="0">
              <x v="0"/>
            </reference>
          </references>
        </pivotArea>
      </autoSortScope>
    </pivotField>
    <pivotField showAll="0"/>
    <pivotField showAll="0"/>
    <pivotField dataField="1" showAll="0"/>
    <pivotField showAll="0"/>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h="1" x="0"/>
        <item h="1" x="1"/>
        <item h="1" x="2"/>
        <item h="1" x="3"/>
        <item x="4"/>
        <item h="1" x="5"/>
        <item h="1" x="6"/>
        <item h="1" x="7"/>
        <item h="1" x="8"/>
        <item h="1" x="9"/>
        <item h="1" x="10"/>
        <item h="1" x="11"/>
        <item h="1" x="12"/>
        <item h="1" x="13"/>
        <item t="default"/>
      </items>
    </pivotField>
  </pivotFields>
  <rowFields count="1">
    <field x="6"/>
  </rowFields>
  <rowItems count="2">
    <i>
      <x v="4"/>
    </i>
    <i t="grand">
      <x/>
    </i>
  </rowItems>
  <colItems count="1">
    <i/>
  </colItems>
  <dataFields count="1">
    <dataField name="Sum of Amount ($)" fld="9" baseField="0" baseItem="0" numFmtId="164"/>
  </dataFields>
  <pivotTableStyleInfo name="PivotStyleLight16" showRowHeaders="1" showColHeaders="1" showRowStripes="0" showColStripes="0" showLastColumn="1"/>
  <filters count="2">
    <filter fld="0" type="dateBetween" evalOrder="-1" id="940" name="Date">
      <autoFilter ref="A1">
        <filterColumn colId="0">
          <customFilters and="1">
            <customFilter operator="greaterThanOrEqual" val="44743"/>
            <customFilter operator="lessThanOrEqual" val="44773"/>
          </customFilters>
        </filterColumn>
      </autoFilter>
      <extLst>
        <ext xmlns:x15="http://schemas.microsoft.com/office/spreadsheetml/2010/11/main" uri="{0605FD5F-26C8-4aeb-8148-2DB25E43C511}">
          <x15:pivotFilter useWholeDay="1"/>
        </ext>
      </extLst>
    </filter>
    <filter fld="6" type="count" evalOrder="-1" id="930" iMeasureFld="0">
      <autoFilter ref="A1">
        <filterColumn colId="0">
          <top10 val="1" filterVal="1"/>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C034453E-099A-47F7-BC9F-062C9575B097}" autoFormatId="16" applyNumberFormats="0" applyBorderFormats="0" applyFontFormats="0" applyPatternFormats="0" applyAlignmentFormats="0" applyWidthHeightFormats="0">
  <queryTableRefresh nextId="13" unboundColumnsRight="1">
    <queryTableFields count="12">
      <queryTableField id="1" name="Date" tableColumnId="1"/>
      <queryTableField id="2" name="Product Name" tableColumnId="2"/>
      <queryTableField id="3" name="Product Type" tableColumnId="3"/>
      <queryTableField id="4" name="Brand" tableColumnId="4"/>
      <queryTableField id="5" name="Gender" tableColumnId="5"/>
      <queryTableField id="6" name="Category" tableColumnId="6"/>
      <queryTableField id="7" name="Country" tableColumnId="7"/>
      <queryTableField id="8" name="Quantity" tableColumnId="8"/>
      <queryTableField id="9" name="Unit Price ($)" tableColumnId="9"/>
      <queryTableField id="10" name="Amount ($)" tableColumnId="10"/>
      <queryTableField id="11" name="Payment Mode" tableColumnId="11"/>
      <queryTableField id="12" dataBound="0" tableColumnId="1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44F93BE9-63F1-4343-99D2-6B546C622C35}" sourceName="Country">
  <pivotTables>
    <pivotTable tabId="3" name="PivotTable8"/>
    <pivotTable tabId="3" name="PivotTable7"/>
    <pivotTable tabId="3" name="PivotTable1"/>
    <pivotTable tabId="3" name="PivotTable10"/>
    <pivotTable tabId="3" name="PivotTable11"/>
    <pivotTable tabId="3" name="PivotTable2"/>
  </pivotTables>
  <data>
    <tabular pivotCacheId="1329196452" crossFilter="showItemsWithNoData">
      <items count="7">
        <i x="3" s="1"/>
        <i x="5" s="1"/>
        <i x="1" s="1"/>
        <i x="2" s="1"/>
        <i x="4" s="1"/>
        <i x="6"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rand" xr10:uid="{C0C4768F-5676-41F7-B9FC-68645CB0B0FB}" sourceName="Brand">
  <pivotTables>
    <pivotTable tabId="3" name="PivotTable8"/>
    <pivotTable tabId="3" name="PivotTable7"/>
    <pivotTable tabId="3" name="PivotTable1"/>
    <pivotTable tabId="3" name="PivotTable10"/>
    <pivotTable tabId="3" name="PivotTable11"/>
    <pivotTable tabId="3" name="PivotTable2"/>
  </pivotTables>
  <data>
    <tabular pivotCacheId="1329196452">
      <items count="7">
        <i x="3" s="1"/>
        <i x="4" s="1"/>
        <i x="6" s="1"/>
        <i x="0" s="1"/>
        <i x="5" s="1"/>
        <i x="2" s="1"/>
        <i x="1" s="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Type" xr10:uid="{3A8B1B30-3659-44EC-A25F-FE808F6782AE}" sourceName="Product Type">
  <pivotTables>
    <pivotTable tabId="3" name="PivotTable8"/>
    <pivotTable tabId="3" name="PivotTable7"/>
    <pivotTable tabId="3" name="PivotTable1"/>
    <pivotTable tabId="3" name="PivotTable10"/>
    <pivotTable tabId="3" name="PivotTable11"/>
    <pivotTable tabId="3" name="PivotTable2"/>
  </pivotTables>
  <data>
    <tabular pivotCacheId="1329196452">
      <items count="5">
        <i x="4" s="1"/>
        <i x="1" s="1"/>
        <i x="2" s="1"/>
        <i x="0" s="1"/>
        <i x="3"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ntry 1" xr10:uid="{D4E4E7C6-367E-42F2-A91B-0761DFEBC27C}" cache="Slicer_Country" caption="Country" columnCount="4" showCaption="0" style="Slicer Style 1" rowHeight="257175"/>
  <slicer name="Brand 1" xr10:uid="{26FCFF03-49B0-46C6-9DC0-E5EBBB55F002}" cache="Slicer_Brand" caption="Brand" columnCount="2" showCaption="0" style="Slicer Style 1 2" rowHeight="257175"/>
  <slicer name="Product Type 1" xr10:uid="{8982EBE2-7149-4DFC-8412-A73F34469A4D}" cache="Slicer_Product_Type" caption="Product Type" columnCount="2" showCaption="0" style="Slicer Style 1 2" rowHeight="257175"/>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E0E01CD-52A6-4211-B208-0652DA44AD8B}" name="sneakers_streetwear_sales_data" displayName="sneakers_streetwear_sales_data" ref="A1:L354" tableType="queryTable" totalsRowShown="0">
  <autoFilter ref="A1:L354" xr:uid="{1E0E01CD-52A6-4211-B208-0652DA44AD8B}"/>
  <sortState xmlns:xlrd2="http://schemas.microsoft.com/office/spreadsheetml/2017/richdata2" ref="A2:K354">
    <sortCondition descending="1" ref="J1:J354"/>
  </sortState>
  <tableColumns count="12">
    <tableColumn id="1" xr3:uid="{FCE273F4-13EC-4B09-9857-BC36D3ADFB98}" uniqueName="1" name="Date" queryTableFieldId="1" dataDxfId="183"/>
    <tableColumn id="2" xr3:uid="{3118C775-4138-4A34-AFAA-187784397A6C}" uniqueName="2" name="Product Name" queryTableFieldId="2" dataDxfId="182"/>
    <tableColumn id="3" xr3:uid="{2B6BEB34-4934-48CF-AABD-1A68CB5B96DD}" uniqueName="3" name="Product Type" queryTableFieldId="3" dataDxfId="181"/>
    <tableColumn id="4" xr3:uid="{EDC1DA14-0ED3-4061-861F-D7148AB83261}" uniqueName="4" name="Brand" queryTableFieldId="4" dataDxfId="180"/>
    <tableColumn id="5" xr3:uid="{6D4E7FFA-B854-4F8E-90CD-D8FF4DFB4500}" uniqueName="5" name="Gender" queryTableFieldId="5" dataDxfId="179"/>
    <tableColumn id="6" xr3:uid="{A04DE8B4-7FF8-4F4B-83E4-D606D9D290DD}" uniqueName="6" name="Category" queryTableFieldId="6" dataDxfId="178"/>
    <tableColumn id="7" xr3:uid="{6509087D-D6A2-4A77-AD31-FF0CE0FEEC4A}" uniqueName="7" name="Country" queryTableFieldId="7" dataDxfId="177"/>
    <tableColumn id="8" xr3:uid="{489509D1-CF21-4AE1-AB5D-9A2FCF95FB75}" uniqueName="8" name="Quantity" queryTableFieldId="8"/>
    <tableColumn id="9" xr3:uid="{B95A9639-A4BD-485E-AA35-8570134A4097}" uniqueName="9" name="Unit Price ($)" queryTableFieldId="9"/>
    <tableColumn id="10" xr3:uid="{3FB7CEAF-D71B-45EF-906C-4F9F47A0F147}" uniqueName="10" name="Amount ($)" queryTableFieldId="10"/>
    <tableColumn id="11" xr3:uid="{F43B9D25-9E9A-4603-849D-8A2E800732A6}" uniqueName="11" name="Payment Mode" queryTableFieldId="11" dataDxfId="176"/>
    <tableColumn id="12" xr3:uid="{C7031276-4BDF-4342-B01A-EACAD6A42722}" uniqueName="12" name="Profit" queryTableFieldId="12" dataDxfId="175">
      <calculatedColumnFormula>sneakers_streetwear_sales_data[[#This Row],[Amount ($)]]*0.2</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D7018D30-70D8-4F6E-9B8B-82D53EF2A496}" sourceName="Date">
  <pivotTables>
    <pivotTable tabId="3" name="PivotTable7"/>
    <pivotTable tabId="3" name="PivotTable1"/>
    <pivotTable tabId="3" name="PivotTable10"/>
    <pivotTable tabId="3" name="PivotTable11"/>
    <pivotTable tabId="3" name="PivotTable2"/>
    <pivotTable tabId="3" name="PivotTable8"/>
  </pivotTables>
  <state minimalRefreshVersion="6" lastRefreshVersion="6" pivotCacheId="1329196452" filterType="unknown">
    <bounds startDate="2022-01-01T00:00:00" endDate="2023-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1" xr10:uid="{7682804D-C82B-415A-8460-2C162E13BFDD}" cache="NativeTimeline_Date" caption="" showHeader="0" showSelectionLabel="0" showTimeLevel="0" level="2" selectionLevel="2" scrollPosition="2022-01-01T00:00:00" style="Timeline Style 1"/>
</timelines>
</file>

<file path=xl/worksheets/_rels/sheet1.xml.rels><?xml version="1.0" encoding="UTF-8" standalone="yes"?>
<Relationships xmlns="http://schemas.openxmlformats.org/package/2006/relationships"><Relationship Id="rId3" Type="http://schemas.microsoft.com/office/2011/relationships/timeline" Target="../timelines/timeline1.xml"/><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drawing" Target="../drawings/drawing2.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1E66F7-8A90-4D5A-BE04-829D802DF1E7}">
  <dimension ref="A1"/>
  <sheetViews>
    <sheetView showGridLines="0" tabSelected="1" zoomScaleNormal="100" workbookViewId="0">
      <selection activeCell="AA17" sqref="AA17"/>
    </sheetView>
  </sheetViews>
  <sheetFormatPr defaultRowHeight="15" x14ac:dyDescent="0.25"/>
  <cols>
    <col min="1" max="16384" width="9.140625" style="10"/>
  </cols>
  <sheetData>
    <row r="1" s="10" customFormat="1" x14ac:dyDescent="0.25"/>
  </sheetData>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D36E5C-68F2-43D8-973C-9BFFB62660C8}">
  <dimension ref="F3:M36"/>
  <sheetViews>
    <sheetView topLeftCell="B4" zoomScale="145" zoomScaleNormal="145" workbookViewId="0">
      <selection activeCell="T38" sqref="T38"/>
    </sheetView>
  </sheetViews>
  <sheetFormatPr defaultRowHeight="15" x14ac:dyDescent="0.25"/>
  <cols>
    <col min="1" max="1" width="12.7109375" bestFit="1" customWidth="1"/>
    <col min="3" max="3" width="15.5703125" bestFit="1" customWidth="1"/>
    <col min="4" max="4" width="17.85546875" bestFit="1" customWidth="1"/>
    <col min="5" max="6" width="15.5703125" bestFit="1" customWidth="1"/>
    <col min="7" max="7" width="17.85546875" bestFit="1" customWidth="1"/>
    <col min="9" max="9" width="13.42578125" bestFit="1" customWidth="1"/>
    <col min="10" max="10" width="17.85546875" bestFit="1" customWidth="1"/>
    <col min="12" max="12" width="13.42578125" bestFit="1" customWidth="1"/>
    <col min="13" max="13" width="17.85546875" bestFit="1" customWidth="1"/>
  </cols>
  <sheetData>
    <row r="3" spans="6:13" x14ac:dyDescent="0.25">
      <c r="F3" t="s">
        <v>55</v>
      </c>
      <c r="I3" t="s">
        <v>64</v>
      </c>
    </row>
    <row r="5" spans="6:13" x14ac:dyDescent="0.25">
      <c r="H5" s="6"/>
      <c r="K5" s="6"/>
      <c r="L5" s="6"/>
      <c r="M5" s="6"/>
    </row>
    <row r="6" spans="6:13" x14ac:dyDescent="0.25">
      <c r="F6" t="s">
        <v>56</v>
      </c>
      <c r="H6" s="6"/>
      <c r="I6" s="6" t="s">
        <v>65</v>
      </c>
      <c r="J6" s="6"/>
      <c r="K6" s="6"/>
      <c r="L6" s="6" t="s">
        <v>74</v>
      </c>
      <c r="M6" s="6"/>
    </row>
    <row r="7" spans="6:13" x14ac:dyDescent="0.25">
      <c r="F7" t="s">
        <v>54</v>
      </c>
      <c r="H7" s="6"/>
      <c r="I7" s="8" t="s">
        <v>61</v>
      </c>
      <c r="J7" s="6" t="s">
        <v>54</v>
      </c>
      <c r="K7" s="6"/>
      <c r="L7" s="8" t="s">
        <v>61</v>
      </c>
      <c r="M7" s="6" t="s">
        <v>54</v>
      </c>
    </row>
    <row r="8" spans="6:13" x14ac:dyDescent="0.25">
      <c r="F8" s="5">
        <v>193103.06999999983</v>
      </c>
      <c r="G8" s="5">
        <f>GETPIVOTDATA("Amount ($)",$F$7)</f>
        <v>193103.06999999983</v>
      </c>
      <c r="H8" s="6"/>
      <c r="I8" s="9" t="s">
        <v>66</v>
      </c>
      <c r="J8" s="6">
        <v>23067.919999999987</v>
      </c>
      <c r="K8" s="6"/>
      <c r="L8" s="9" t="s">
        <v>43</v>
      </c>
      <c r="M8" s="6">
        <v>20912.740000000002</v>
      </c>
    </row>
    <row r="9" spans="6:13" x14ac:dyDescent="0.25">
      <c r="H9" s="6"/>
      <c r="I9" s="9" t="s">
        <v>67</v>
      </c>
      <c r="J9" s="6">
        <v>20393.53999999999</v>
      </c>
      <c r="K9" s="6"/>
      <c r="L9" s="9" t="s">
        <v>33</v>
      </c>
      <c r="M9" s="6">
        <v>24094.020000000008</v>
      </c>
    </row>
    <row r="10" spans="6:13" x14ac:dyDescent="0.25">
      <c r="F10" t="s">
        <v>57</v>
      </c>
      <c r="H10" s="6"/>
      <c r="I10" s="9" t="s">
        <v>68</v>
      </c>
      <c r="J10" s="6">
        <v>29043.180000000008</v>
      </c>
      <c r="K10" s="6"/>
      <c r="L10" s="9" t="s">
        <v>22</v>
      </c>
      <c r="M10" s="6">
        <v>26095.589999999993</v>
      </c>
    </row>
    <row r="11" spans="6:13" x14ac:dyDescent="0.25">
      <c r="F11" t="s">
        <v>58</v>
      </c>
      <c r="H11" s="6"/>
      <c r="I11" s="9" t="s">
        <v>69</v>
      </c>
      <c r="J11" s="6">
        <v>17176.879999999997</v>
      </c>
      <c r="K11" s="6"/>
      <c r="L11" s="9" t="s">
        <v>34</v>
      </c>
      <c r="M11" s="6">
        <v>29739.249999999996</v>
      </c>
    </row>
    <row r="12" spans="6:13" x14ac:dyDescent="0.25">
      <c r="F12" s="11">
        <v>1097</v>
      </c>
      <c r="G12">
        <f>GETPIVOTDATA("Quantity",$F$11)</f>
        <v>1097</v>
      </c>
      <c r="H12" s="6"/>
      <c r="I12" s="9" t="s">
        <v>70</v>
      </c>
      <c r="J12" s="6">
        <v>20397.439999999999</v>
      </c>
      <c r="K12" s="6"/>
      <c r="L12" s="9" t="s">
        <v>27</v>
      </c>
      <c r="M12" s="6">
        <v>29822.889999999996</v>
      </c>
    </row>
    <row r="13" spans="6:13" x14ac:dyDescent="0.25">
      <c r="H13" s="6"/>
      <c r="I13" s="9" t="s">
        <v>71</v>
      </c>
      <c r="J13" s="6">
        <v>26089.220000000005</v>
      </c>
      <c r="K13" s="6"/>
      <c r="L13" s="9" t="s">
        <v>39</v>
      </c>
      <c r="M13" s="6">
        <v>30851.189999999991</v>
      </c>
    </row>
    <row r="14" spans="6:13" x14ac:dyDescent="0.25">
      <c r="F14" t="s">
        <v>59</v>
      </c>
      <c r="H14" s="6"/>
      <c r="I14" s="9" t="s">
        <v>72</v>
      </c>
      <c r="J14" s="6">
        <v>32073.430000000004</v>
      </c>
      <c r="K14" s="6"/>
      <c r="L14" s="9" t="s">
        <v>16</v>
      </c>
      <c r="M14" s="6">
        <v>31587.390000000003</v>
      </c>
    </row>
    <row r="15" spans="6:13" x14ac:dyDescent="0.25">
      <c r="F15" s="7">
        <f>GETPIVOTDATA("Amount ($)",$F$7)/GETPIVOTDATA("Quantity",$F$11)</f>
        <v>176.02832269826786</v>
      </c>
      <c r="G15" s="6">
        <f>F15</f>
        <v>176.02832269826786</v>
      </c>
      <c r="H15" s="6"/>
      <c r="I15" s="9" t="s">
        <v>73</v>
      </c>
      <c r="J15" s="6">
        <v>24861.460000000006</v>
      </c>
      <c r="K15" s="6"/>
      <c r="L15" s="9" t="s">
        <v>62</v>
      </c>
      <c r="M15" s="6">
        <v>193103.07</v>
      </c>
    </row>
    <row r="16" spans="6:13" x14ac:dyDescent="0.25">
      <c r="H16" s="6"/>
      <c r="I16" s="9" t="s">
        <v>62</v>
      </c>
      <c r="J16" s="6">
        <v>193103.07</v>
      </c>
      <c r="K16" s="6"/>
      <c r="L16" s="6"/>
      <c r="M16" s="6"/>
    </row>
    <row r="17" spans="6:13" x14ac:dyDescent="0.25">
      <c r="F17" t="s">
        <v>60</v>
      </c>
      <c r="H17" s="6"/>
      <c r="I17" s="6"/>
      <c r="J17" s="6"/>
      <c r="K17" s="6"/>
      <c r="L17" s="6"/>
      <c r="M17" s="6"/>
    </row>
    <row r="18" spans="6:13" x14ac:dyDescent="0.25">
      <c r="F18" s="2" t="s">
        <v>61</v>
      </c>
      <c r="G18" t="s">
        <v>54</v>
      </c>
      <c r="H18" s="6"/>
      <c r="I18" s="9"/>
      <c r="J18" s="6"/>
      <c r="K18" s="6"/>
      <c r="L18" s="9" t="s">
        <v>75</v>
      </c>
      <c r="M18" s="6"/>
    </row>
    <row r="19" spans="6:13" x14ac:dyDescent="0.25">
      <c r="F19" s="3" t="s">
        <v>25</v>
      </c>
      <c r="G19" s="5">
        <v>67975.580000000016</v>
      </c>
      <c r="H19" s="6"/>
      <c r="I19" s="9" t="s">
        <v>76</v>
      </c>
      <c r="J19" s="6"/>
      <c r="K19" s="6"/>
      <c r="L19" s="8" t="s">
        <v>61</v>
      </c>
      <c r="M19" s="6" t="s">
        <v>54</v>
      </c>
    </row>
    <row r="20" spans="6:13" x14ac:dyDescent="0.25">
      <c r="F20" s="3" t="s">
        <v>62</v>
      </c>
      <c r="G20" s="4">
        <v>67975.580000000016</v>
      </c>
      <c r="H20" s="6"/>
      <c r="I20" s="8" t="s">
        <v>61</v>
      </c>
      <c r="J20" s="6" t="s">
        <v>54</v>
      </c>
      <c r="K20" s="6"/>
      <c r="L20" s="9" t="s">
        <v>17</v>
      </c>
      <c r="M20" s="6">
        <v>53820.119999999995</v>
      </c>
    </row>
    <row r="21" spans="6:13" x14ac:dyDescent="0.25">
      <c r="H21" s="6"/>
      <c r="I21" s="9" t="s">
        <v>46</v>
      </c>
      <c r="J21" s="6">
        <v>13915.460000000001</v>
      </c>
      <c r="K21" s="6"/>
      <c r="L21" s="9" t="s">
        <v>23</v>
      </c>
      <c r="M21" s="6">
        <v>48431.609999999993</v>
      </c>
    </row>
    <row r="22" spans="6:13" x14ac:dyDescent="0.25">
      <c r="F22" t="str">
        <f>F19</f>
        <v>Nike</v>
      </c>
      <c r="G22" s="5">
        <f>GETPIVOTDATA("Amount ($)",$F$18,"Brand","Nike")</f>
        <v>67975.580000000016</v>
      </c>
      <c r="H22" s="6"/>
      <c r="I22" s="9" t="s">
        <v>29</v>
      </c>
      <c r="J22" s="6">
        <v>63109.450000000004</v>
      </c>
      <c r="K22" s="6"/>
      <c r="L22" s="9" t="s">
        <v>35</v>
      </c>
      <c r="M22" s="6">
        <v>36311.19000000001</v>
      </c>
    </row>
    <row r="23" spans="6:13" x14ac:dyDescent="0.25">
      <c r="H23" s="6"/>
      <c r="I23" s="9" t="s">
        <v>49</v>
      </c>
      <c r="J23" s="6">
        <v>21342.019999999993</v>
      </c>
      <c r="K23" s="6"/>
      <c r="L23" s="9" t="s">
        <v>36</v>
      </c>
      <c r="M23" s="6">
        <v>54540.15</v>
      </c>
    </row>
    <row r="24" spans="6:13" x14ac:dyDescent="0.25">
      <c r="F24" t="s">
        <v>63</v>
      </c>
      <c r="H24" s="6"/>
      <c r="I24" s="9" t="s">
        <v>19</v>
      </c>
      <c r="J24" s="6">
        <v>81586.890000000058</v>
      </c>
      <c r="K24" s="6"/>
      <c r="L24" s="9" t="s">
        <v>62</v>
      </c>
      <c r="M24" s="6">
        <v>193103.06999999998</v>
      </c>
    </row>
    <row r="25" spans="6:13" x14ac:dyDescent="0.25">
      <c r="F25" s="2" t="s">
        <v>61</v>
      </c>
      <c r="G25" t="s">
        <v>54</v>
      </c>
      <c r="H25" s="6"/>
      <c r="I25" s="9" t="s">
        <v>12</v>
      </c>
      <c r="J25" s="6">
        <v>13149.249999999996</v>
      </c>
      <c r="K25" s="6"/>
      <c r="L25" s="6"/>
      <c r="M25" s="6"/>
    </row>
    <row r="26" spans="6:13" x14ac:dyDescent="0.25">
      <c r="F26" s="3" t="s">
        <v>16</v>
      </c>
      <c r="G26" s="4">
        <v>31587.390000000003</v>
      </c>
      <c r="H26" s="6"/>
      <c r="I26" s="9" t="s">
        <v>62</v>
      </c>
      <c r="J26" s="6">
        <v>193103.07000000007</v>
      </c>
      <c r="K26" s="6"/>
      <c r="L26" s="6"/>
      <c r="M26" s="6"/>
    </row>
    <row r="27" spans="6:13" x14ac:dyDescent="0.25">
      <c r="F27" s="3" t="s">
        <v>62</v>
      </c>
      <c r="G27" s="4">
        <v>31587.390000000003</v>
      </c>
      <c r="H27" s="6"/>
      <c r="K27" s="6"/>
      <c r="L27" s="6"/>
      <c r="M27" s="6"/>
    </row>
    <row r="28" spans="6:13" x14ac:dyDescent="0.25">
      <c r="I28" s="6"/>
      <c r="J28" s="6"/>
      <c r="K28" s="6"/>
      <c r="L28" s="6"/>
      <c r="M28" s="6"/>
    </row>
    <row r="29" spans="6:13" x14ac:dyDescent="0.25">
      <c r="F29" t="str">
        <f>F26</f>
        <v>Japan</v>
      </c>
      <c r="G29" s="5">
        <f>GETPIVOTDATA("Amount ($)",$F$25,"Country","Japan")</f>
        <v>31587.390000000003</v>
      </c>
      <c r="I29" s="9" t="s">
        <v>77</v>
      </c>
      <c r="K29" s="6"/>
      <c r="L29" s="6"/>
      <c r="M29" s="6"/>
    </row>
    <row r="30" spans="6:13" x14ac:dyDescent="0.25">
      <c r="I30" s="8" t="s">
        <v>61</v>
      </c>
      <c r="J30" s="6" t="s">
        <v>54</v>
      </c>
      <c r="K30" s="6"/>
      <c r="L30" s="6"/>
      <c r="M30" s="6"/>
    </row>
    <row r="31" spans="6:13" x14ac:dyDescent="0.25">
      <c r="I31" s="9" t="s">
        <v>72</v>
      </c>
      <c r="J31" s="6">
        <v>32073.430000000004</v>
      </c>
      <c r="K31" s="6"/>
      <c r="L31" s="6"/>
      <c r="M31" s="6"/>
    </row>
    <row r="32" spans="6:13" x14ac:dyDescent="0.25">
      <c r="I32" s="9" t="s">
        <v>62</v>
      </c>
      <c r="J32" s="6">
        <v>32073.430000000004</v>
      </c>
      <c r="K32" s="6"/>
      <c r="L32" s="6"/>
      <c r="M32" s="6"/>
    </row>
    <row r="33" spans="6:11" x14ac:dyDescent="0.25">
      <c r="H33" s="6"/>
      <c r="K33" s="6"/>
    </row>
    <row r="34" spans="6:11" x14ac:dyDescent="0.25">
      <c r="H34" s="6"/>
      <c r="I34" s="6" t="str">
        <f>I31</f>
        <v>Jul</v>
      </c>
      <c r="J34" s="6">
        <f>GETPIVOTDATA("Amount ($)",$I$30,"Months (Date)",7)</f>
        <v>32073.430000000004</v>
      </c>
      <c r="K34" s="6"/>
    </row>
    <row r="35" spans="6:11" x14ac:dyDescent="0.25">
      <c r="H35" s="6"/>
      <c r="K35" s="6"/>
    </row>
    <row r="36" spans="6:11" x14ac:dyDescent="0.25">
      <c r="F36" s="6"/>
      <c r="G36" s="6"/>
      <c r="H36" s="6"/>
      <c r="I36" t="str">
        <f>IF(I34="Jul","July")</f>
        <v>July</v>
      </c>
      <c r="J36" s="6">
        <f>J34</f>
        <v>32073.430000000004</v>
      </c>
      <c r="K36" s="6"/>
    </row>
  </sheetData>
  <pageMargins left="0.7" right="0.7" top="0.75" bottom="0.75" header="0.3" footer="0.3"/>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DAA7A-7BDA-4AA8-BC18-E610EC0D372A}">
  <dimension ref="A1:W354"/>
  <sheetViews>
    <sheetView zoomScale="85" zoomScaleNormal="85" workbookViewId="0">
      <selection activeCell="P9" sqref="P9"/>
    </sheetView>
  </sheetViews>
  <sheetFormatPr defaultRowHeight="15" x14ac:dyDescent="0.25"/>
  <cols>
    <col min="1" max="1" width="10.42578125" bestFit="1" customWidth="1"/>
    <col min="2" max="2" width="24.28515625" bestFit="1" customWidth="1"/>
    <col min="3" max="3" width="15" bestFit="1" customWidth="1"/>
    <col min="4" max="5" width="10" bestFit="1" customWidth="1"/>
    <col min="6" max="6" width="14.140625" bestFit="1" customWidth="1"/>
    <col min="7" max="7" width="10.5703125" bestFit="1" customWidth="1"/>
    <col min="8" max="8" width="11" bestFit="1" customWidth="1"/>
    <col min="9" max="9" width="14.85546875" bestFit="1" customWidth="1"/>
    <col min="10" max="10" width="13.140625" bestFit="1" customWidth="1"/>
    <col min="11" max="11" width="16.7109375" bestFit="1" customWidth="1"/>
    <col min="14" max="14" width="24.28515625" bestFit="1" customWidth="1"/>
    <col min="15" max="15" width="7" bestFit="1" customWidth="1"/>
  </cols>
  <sheetData>
    <row r="1" spans="1:23" x14ac:dyDescent="0.25">
      <c r="A1" t="s">
        <v>0</v>
      </c>
      <c r="B1" t="s">
        <v>1</v>
      </c>
      <c r="C1" t="s">
        <v>2</v>
      </c>
      <c r="D1" t="s">
        <v>3</v>
      </c>
      <c r="E1" t="s">
        <v>4</v>
      </c>
      <c r="F1" t="s">
        <v>5</v>
      </c>
      <c r="G1" t="s">
        <v>6</v>
      </c>
      <c r="H1" t="s">
        <v>7</v>
      </c>
      <c r="I1" t="s">
        <v>8</v>
      </c>
      <c r="J1" t="s">
        <v>9</v>
      </c>
      <c r="K1" t="s">
        <v>10</v>
      </c>
      <c r="L1" t="s">
        <v>53</v>
      </c>
    </row>
    <row r="2" spans="1:23" x14ac:dyDescent="0.25">
      <c r="A2" s="1">
        <v>44718</v>
      </c>
      <c r="B2" t="s">
        <v>31</v>
      </c>
      <c r="C2" t="s">
        <v>19</v>
      </c>
      <c r="D2" t="s">
        <v>25</v>
      </c>
      <c r="E2" t="s">
        <v>26</v>
      </c>
      <c r="F2" t="s">
        <v>15</v>
      </c>
      <c r="G2" t="s">
        <v>22</v>
      </c>
      <c r="H2">
        <v>5</v>
      </c>
      <c r="I2">
        <v>299.3</v>
      </c>
      <c r="J2">
        <v>1496.5</v>
      </c>
      <c r="K2" t="s">
        <v>17</v>
      </c>
      <c r="L2">
        <f>sneakers_streetwear_sales_data[[#This Row],[Amount ($)]]*0.2</f>
        <v>299.3</v>
      </c>
    </row>
    <row r="3" spans="1:23" x14ac:dyDescent="0.25">
      <c r="A3" s="1">
        <v>44658</v>
      </c>
      <c r="B3" t="s">
        <v>41</v>
      </c>
      <c r="C3" t="s">
        <v>29</v>
      </c>
      <c r="D3" t="s">
        <v>42</v>
      </c>
      <c r="E3" t="s">
        <v>26</v>
      </c>
      <c r="F3" t="s">
        <v>32</v>
      </c>
      <c r="G3" t="s">
        <v>27</v>
      </c>
      <c r="H3">
        <v>5</v>
      </c>
      <c r="I3">
        <v>293.20999999999998</v>
      </c>
      <c r="J3">
        <v>1466.05</v>
      </c>
      <c r="K3" t="s">
        <v>23</v>
      </c>
      <c r="L3">
        <f>sneakers_streetwear_sales_data[[#This Row],[Amount ($)]]*0.2</f>
        <v>293.20999999999998</v>
      </c>
    </row>
    <row r="4" spans="1:23" x14ac:dyDescent="0.25">
      <c r="A4" s="1">
        <v>44769</v>
      </c>
      <c r="B4" t="s">
        <v>31</v>
      </c>
      <c r="C4" t="s">
        <v>19</v>
      </c>
      <c r="D4" t="s">
        <v>25</v>
      </c>
      <c r="E4" t="s">
        <v>30</v>
      </c>
      <c r="F4" t="s">
        <v>15</v>
      </c>
      <c r="G4" t="s">
        <v>43</v>
      </c>
      <c r="H4">
        <v>5</v>
      </c>
      <c r="I4">
        <v>291.7</v>
      </c>
      <c r="J4">
        <v>1458.5</v>
      </c>
      <c r="K4" t="s">
        <v>36</v>
      </c>
      <c r="L4">
        <f>sneakers_streetwear_sales_data[[#This Row],[Amount ($)]]*0.2</f>
        <v>291.7</v>
      </c>
    </row>
    <row r="5" spans="1:23" x14ac:dyDescent="0.25">
      <c r="A5" s="1">
        <v>44575</v>
      </c>
      <c r="B5" t="s">
        <v>48</v>
      </c>
      <c r="C5" t="s">
        <v>49</v>
      </c>
      <c r="D5" t="s">
        <v>50</v>
      </c>
      <c r="E5" t="s">
        <v>14</v>
      </c>
      <c r="F5" t="s">
        <v>15</v>
      </c>
      <c r="G5" t="s">
        <v>33</v>
      </c>
      <c r="H5">
        <v>5</v>
      </c>
      <c r="I5">
        <v>289.47000000000003</v>
      </c>
      <c r="J5">
        <v>1447.35</v>
      </c>
      <c r="K5" t="s">
        <v>17</v>
      </c>
      <c r="L5">
        <f>sneakers_streetwear_sales_data[[#This Row],[Amount ($)]]*0.2</f>
        <v>289.46999999999997</v>
      </c>
    </row>
    <row r="6" spans="1:23" x14ac:dyDescent="0.25">
      <c r="A6" s="1">
        <v>44759</v>
      </c>
      <c r="B6" t="s">
        <v>24</v>
      </c>
      <c r="C6" t="s">
        <v>19</v>
      </c>
      <c r="D6" t="s">
        <v>25</v>
      </c>
      <c r="E6" t="s">
        <v>14</v>
      </c>
      <c r="F6" t="s">
        <v>15</v>
      </c>
      <c r="G6" t="s">
        <v>27</v>
      </c>
      <c r="H6">
        <v>5</v>
      </c>
      <c r="I6">
        <v>285.37</v>
      </c>
      <c r="J6">
        <v>1426.85</v>
      </c>
      <c r="K6" t="s">
        <v>35</v>
      </c>
      <c r="L6">
        <f>sneakers_streetwear_sales_data[[#This Row],[Amount ($)]]*0.2</f>
        <v>285.37</v>
      </c>
    </row>
    <row r="7" spans="1:23" x14ac:dyDescent="0.25">
      <c r="A7" s="1">
        <v>44569</v>
      </c>
      <c r="B7" t="s">
        <v>44</v>
      </c>
      <c r="C7" t="s">
        <v>19</v>
      </c>
      <c r="D7" t="s">
        <v>20</v>
      </c>
      <c r="E7" t="s">
        <v>26</v>
      </c>
      <c r="F7" t="s">
        <v>40</v>
      </c>
      <c r="G7" t="s">
        <v>22</v>
      </c>
      <c r="H7">
        <v>5</v>
      </c>
      <c r="I7">
        <v>275.27</v>
      </c>
      <c r="J7">
        <v>1376.35</v>
      </c>
      <c r="K7" t="s">
        <v>17</v>
      </c>
      <c r="L7">
        <f>sneakers_streetwear_sales_data[[#This Row],[Amount ($)]]*0.2</f>
        <v>275.27</v>
      </c>
      <c r="S7" t="s">
        <v>51</v>
      </c>
      <c r="V7" t="s">
        <v>52</v>
      </c>
    </row>
    <row r="8" spans="1:23" x14ac:dyDescent="0.25">
      <c r="A8" s="1">
        <v>44797</v>
      </c>
      <c r="B8" t="s">
        <v>24</v>
      </c>
      <c r="C8" t="s">
        <v>19</v>
      </c>
      <c r="D8" t="s">
        <v>25</v>
      </c>
      <c r="E8" t="s">
        <v>26</v>
      </c>
      <c r="F8" t="s">
        <v>21</v>
      </c>
      <c r="G8" t="s">
        <v>33</v>
      </c>
      <c r="H8">
        <v>5</v>
      </c>
      <c r="I8">
        <v>273</v>
      </c>
      <c r="J8">
        <v>1365</v>
      </c>
      <c r="K8" t="s">
        <v>17</v>
      </c>
      <c r="L8">
        <f>sneakers_streetwear_sales_data[[#This Row],[Amount ($)]]*0.2</f>
        <v>273</v>
      </c>
    </row>
    <row r="9" spans="1:23" x14ac:dyDescent="0.25">
      <c r="A9" s="1">
        <v>44759</v>
      </c>
      <c r="B9" t="s">
        <v>24</v>
      </c>
      <c r="C9" t="s">
        <v>19</v>
      </c>
      <c r="D9" t="s">
        <v>25</v>
      </c>
      <c r="E9" t="s">
        <v>26</v>
      </c>
      <c r="F9" t="s">
        <v>15</v>
      </c>
      <c r="G9" t="s">
        <v>16</v>
      </c>
      <c r="H9">
        <v>5</v>
      </c>
      <c r="I9">
        <v>270.14</v>
      </c>
      <c r="J9">
        <v>1350.7</v>
      </c>
      <c r="K9" t="s">
        <v>36</v>
      </c>
      <c r="L9">
        <f>sneakers_streetwear_sales_data[[#This Row],[Amount ($)]]*0.2</f>
        <v>270.14000000000004</v>
      </c>
      <c r="S9" t="s">
        <v>16</v>
      </c>
      <c r="T9">
        <v>31587.390000000003</v>
      </c>
      <c r="V9" t="s">
        <v>25</v>
      </c>
      <c r="W9">
        <v>67975.580000000016</v>
      </c>
    </row>
    <row r="10" spans="1:23" x14ac:dyDescent="0.25">
      <c r="A10" s="1">
        <v>44646</v>
      </c>
      <c r="B10" t="s">
        <v>11</v>
      </c>
      <c r="C10" t="s">
        <v>12</v>
      </c>
      <c r="D10" t="s">
        <v>13</v>
      </c>
      <c r="E10" t="s">
        <v>30</v>
      </c>
      <c r="F10" t="s">
        <v>21</v>
      </c>
      <c r="G10" t="s">
        <v>39</v>
      </c>
      <c r="H10">
        <v>5</v>
      </c>
      <c r="I10">
        <v>267.70999999999998</v>
      </c>
      <c r="J10">
        <v>1338.55</v>
      </c>
      <c r="K10" t="s">
        <v>23</v>
      </c>
      <c r="L10">
        <f>sneakers_streetwear_sales_data[[#This Row],[Amount ($)]]*0.2</f>
        <v>267.70999999999998</v>
      </c>
      <c r="S10" t="s">
        <v>39</v>
      </c>
      <c r="T10">
        <v>30851.189999999991</v>
      </c>
      <c r="V10" t="s">
        <v>20</v>
      </c>
      <c r="W10">
        <v>36858.430000000015</v>
      </c>
    </row>
    <row r="11" spans="1:23" x14ac:dyDescent="0.25">
      <c r="A11" s="1">
        <v>44728</v>
      </c>
      <c r="B11" t="s">
        <v>18</v>
      </c>
      <c r="C11" t="s">
        <v>19</v>
      </c>
      <c r="D11" t="s">
        <v>20</v>
      </c>
      <c r="E11" t="s">
        <v>26</v>
      </c>
      <c r="F11" t="s">
        <v>32</v>
      </c>
      <c r="G11" t="s">
        <v>16</v>
      </c>
      <c r="H11">
        <v>5</v>
      </c>
      <c r="I11">
        <v>262.68</v>
      </c>
      <c r="J11">
        <v>1313.4</v>
      </c>
      <c r="K11" t="s">
        <v>36</v>
      </c>
      <c r="L11">
        <f>sneakers_streetwear_sales_data[[#This Row],[Amount ($)]]*0.2</f>
        <v>262.68</v>
      </c>
      <c r="S11" t="s">
        <v>27</v>
      </c>
      <c r="T11">
        <v>29822.889999999996</v>
      </c>
      <c r="V11" t="s">
        <v>38</v>
      </c>
      <c r="W11">
        <v>24214.819999999996</v>
      </c>
    </row>
    <row r="12" spans="1:23" x14ac:dyDescent="0.25">
      <c r="A12" s="1">
        <v>44776</v>
      </c>
      <c r="B12" t="s">
        <v>28</v>
      </c>
      <c r="C12" t="s">
        <v>29</v>
      </c>
      <c r="D12" t="s">
        <v>25</v>
      </c>
      <c r="E12" t="s">
        <v>26</v>
      </c>
      <c r="F12" t="s">
        <v>32</v>
      </c>
      <c r="G12" t="s">
        <v>27</v>
      </c>
      <c r="H12">
        <v>5</v>
      </c>
      <c r="I12">
        <v>259</v>
      </c>
      <c r="J12">
        <v>1295</v>
      </c>
      <c r="K12" t="s">
        <v>17</v>
      </c>
      <c r="L12">
        <f>sneakers_streetwear_sales_data[[#This Row],[Amount ($)]]*0.2</f>
        <v>259</v>
      </c>
      <c r="S12" t="s">
        <v>34</v>
      </c>
      <c r="T12">
        <v>29739.249999999996</v>
      </c>
      <c r="V12" t="s">
        <v>50</v>
      </c>
      <c r="W12">
        <v>21342.019999999993</v>
      </c>
    </row>
    <row r="13" spans="1:23" x14ac:dyDescent="0.25">
      <c r="A13" s="1">
        <v>44752</v>
      </c>
      <c r="B13" t="s">
        <v>37</v>
      </c>
      <c r="C13" t="s">
        <v>29</v>
      </c>
      <c r="D13" t="s">
        <v>38</v>
      </c>
      <c r="E13" t="s">
        <v>26</v>
      </c>
      <c r="F13" t="s">
        <v>21</v>
      </c>
      <c r="G13" t="s">
        <v>39</v>
      </c>
      <c r="H13">
        <v>5</v>
      </c>
      <c r="I13">
        <v>256.22000000000003</v>
      </c>
      <c r="J13">
        <v>1281.0999999999999</v>
      </c>
      <c r="K13" t="s">
        <v>36</v>
      </c>
      <c r="L13">
        <f>sneakers_streetwear_sales_data[[#This Row],[Amount ($)]]*0.2</f>
        <v>256.21999999999997</v>
      </c>
      <c r="S13" t="s">
        <v>22</v>
      </c>
      <c r="T13">
        <v>26095.589999999993</v>
      </c>
      <c r="V13" t="s">
        <v>42</v>
      </c>
      <c r="W13">
        <v>15647.510000000002</v>
      </c>
    </row>
    <row r="14" spans="1:23" x14ac:dyDescent="0.25">
      <c r="A14" s="1">
        <v>44752</v>
      </c>
      <c r="B14" t="s">
        <v>45</v>
      </c>
      <c r="C14" t="s">
        <v>46</v>
      </c>
      <c r="D14" t="s">
        <v>47</v>
      </c>
      <c r="E14" t="s">
        <v>30</v>
      </c>
      <c r="F14" t="s">
        <v>32</v>
      </c>
      <c r="G14" t="s">
        <v>39</v>
      </c>
      <c r="H14">
        <v>5</v>
      </c>
      <c r="I14">
        <v>251.06</v>
      </c>
      <c r="J14">
        <v>1255.3</v>
      </c>
      <c r="K14" t="s">
        <v>35</v>
      </c>
      <c r="L14">
        <f>sneakers_streetwear_sales_data[[#This Row],[Amount ($)]]*0.2</f>
        <v>251.06</v>
      </c>
      <c r="S14" t="s">
        <v>33</v>
      </c>
      <c r="T14">
        <v>24094.020000000008</v>
      </c>
      <c r="V14" t="s">
        <v>47</v>
      </c>
      <c r="W14">
        <v>13915.460000000001</v>
      </c>
    </row>
    <row r="15" spans="1:23" x14ac:dyDescent="0.25">
      <c r="A15" s="1">
        <v>44619</v>
      </c>
      <c r="B15" t="s">
        <v>18</v>
      </c>
      <c r="C15" t="s">
        <v>19</v>
      </c>
      <c r="D15" t="s">
        <v>20</v>
      </c>
      <c r="E15" t="s">
        <v>14</v>
      </c>
      <c r="F15" t="s">
        <v>40</v>
      </c>
      <c r="G15" t="s">
        <v>22</v>
      </c>
      <c r="H15">
        <v>5</v>
      </c>
      <c r="I15">
        <v>248.71</v>
      </c>
      <c r="J15">
        <v>1243.55</v>
      </c>
      <c r="K15" t="s">
        <v>36</v>
      </c>
      <c r="L15">
        <f>sneakers_streetwear_sales_data[[#This Row],[Amount ($)]]*0.2</f>
        <v>248.71</v>
      </c>
      <c r="S15" t="s">
        <v>43</v>
      </c>
      <c r="T15">
        <v>20912.740000000002</v>
      </c>
      <c r="V15" t="s">
        <v>13</v>
      </c>
      <c r="W15">
        <v>13149.249999999996</v>
      </c>
    </row>
    <row r="16" spans="1:23" x14ac:dyDescent="0.25">
      <c r="A16" s="1">
        <v>44669</v>
      </c>
      <c r="B16" t="s">
        <v>28</v>
      </c>
      <c r="C16" t="s">
        <v>29</v>
      </c>
      <c r="D16" t="s">
        <v>25</v>
      </c>
      <c r="E16" t="s">
        <v>26</v>
      </c>
      <c r="F16" t="s">
        <v>21</v>
      </c>
      <c r="G16" t="s">
        <v>27</v>
      </c>
      <c r="H16">
        <v>5</v>
      </c>
      <c r="I16">
        <v>243.74</v>
      </c>
      <c r="J16">
        <v>1218.7</v>
      </c>
      <c r="K16" t="s">
        <v>36</v>
      </c>
      <c r="L16">
        <f>sneakers_streetwear_sales_data[[#This Row],[Amount ($)]]*0.2</f>
        <v>243.74</v>
      </c>
    </row>
    <row r="17" spans="1:12" x14ac:dyDescent="0.25">
      <c r="A17" s="1">
        <v>44765</v>
      </c>
      <c r="B17" t="s">
        <v>41</v>
      </c>
      <c r="C17" t="s">
        <v>29</v>
      </c>
      <c r="D17" t="s">
        <v>42</v>
      </c>
      <c r="E17" t="s">
        <v>26</v>
      </c>
      <c r="F17" t="s">
        <v>32</v>
      </c>
      <c r="G17" t="s">
        <v>27</v>
      </c>
      <c r="H17">
        <v>5</v>
      </c>
      <c r="I17">
        <v>241.67</v>
      </c>
      <c r="J17">
        <v>1208.3499999999999</v>
      </c>
      <c r="K17" t="s">
        <v>17</v>
      </c>
      <c r="L17">
        <f>sneakers_streetwear_sales_data[[#This Row],[Amount ($)]]*0.2</f>
        <v>241.67</v>
      </c>
    </row>
    <row r="18" spans="1:12" x14ac:dyDescent="0.25">
      <c r="A18" s="1">
        <v>44686</v>
      </c>
      <c r="B18" t="s">
        <v>48</v>
      </c>
      <c r="C18" t="s">
        <v>49</v>
      </c>
      <c r="D18" t="s">
        <v>50</v>
      </c>
      <c r="E18" t="s">
        <v>26</v>
      </c>
      <c r="F18" t="s">
        <v>32</v>
      </c>
      <c r="G18" t="s">
        <v>27</v>
      </c>
      <c r="H18">
        <v>4</v>
      </c>
      <c r="I18">
        <v>299.73</v>
      </c>
      <c r="J18">
        <v>1198.92</v>
      </c>
      <c r="K18" t="s">
        <v>23</v>
      </c>
      <c r="L18">
        <f>sneakers_streetwear_sales_data[[#This Row],[Amount ($)]]*0.2</f>
        <v>239.78400000000002</v>
      </c>
    </row>
    <row r="19" spans="1:12" x14ac:dyDescent="0.25">
      <c r="A19" s="1">
        <v>44563</v>
      </c>
      <c r="B19" t="s">
        <v>31</v>
      </c>
      <c r="C19" t="s">
        <v>19</v>
      </c>
      <c r="D19" t="s">
        <v>25</v>
      </c>
      <c r="E19" t="s">
        <v>14</v>
      </c>
      <c r="F19" t="s">
        <v>40</v>
      </c>
      <c r="G19" t="s">
        <v>16</v>
      </c>
      <c r="H19">
        <v>4</v>
      </c>
      <c r="I19">
        <v>298.22000000000003</v>
      </c>
      <c r="J19">
        <v>1192.8800000000001</v>
      </c>
      <c r="K19" t="s">
        <v>36</v>
      </c>
      <c r="L19">
        <f>sneakers_streetwear_sales_data[[#This Row],[Amount ($)]]*0.2</f>
        <v>238.57600000000002</v>
      </c>
    </row>
    <row r="20" spans="1:12" x14ac:dyDescent="0.25">
      <c r="A20" s="1">
        <v>44791</v>
      </c>
      <c r="B20" t="s">
        <v>24</v>
      </c>
      <c r="C20" t="s">
        <v>19</v>
      </c>
      <c r="D20" t="s">
        <v>25</v>
      </c>
      <c r="E20" t="s">
        <v>14</v>
      </c>
      <c r="F20" t="s">
        <v>21</v>
      </c>
      <c r="G20" t="s">
        <v>43</v>
      </c>
      <c r="H20">
        <v>4</v>
      </c>
      <c r="I20">
        <v>295.52999999999997</v>
      </c>
      <c r="J20">
        <v>1182.1199999999999</v>
      </c>
      <c r="K20" t="s">
        <v>36</v>
      </c>
      <c r="L20">
        <f>sneakers_streetwear_sales_data[[#This Row],[Amount ($)]]*0.2</f>
        <v>236.42399999999998</v>
      </c>
    </row>
    <row r="21" spans="1:12" x14ac:dyDescent="0.25">
      <c r="A21" s="1">
        <v>44641</v>
      </c>
      <c r="B21" t="s">
        <v>41</v>
      </c>
      <c r="C21" t="s">
        <v>29</v>
      </c>
      <c r="D21" t="s">
        <v>42</v>
      </c>
      <c r="E21" t="s">
        <v>30</v>
      </c>
      <c r="F21" t="s">
        <v>15</v>
      </c>
      <c r="G21" t="s">
        <v>33</v>
      </c>
      <c r="H21">
        <v>5</v>
      </c>
      <c r="I21">
        <v>235.5</v>
      </c>
      <c r="J21">
        <v>1177.5</v>
      </c>
      <c r="K21" t="s">
        <v>36</v>
      </c>
      <c r="L21">
        <f>sneakers_streetwear_sales_data[[#This Row],[Amount ($)]]*0.2</f>
        <v>235.5</v>
      </c>
    </row>
    <row r="22" spans="1:12" x14ac:dyDescent="0.25">
      <c r="A22" s="1">
        <v>44628</v>
      </c>
      <c r="B22" t="s">
        <v>37</v>
      </c>
      <c r="C22" t="s">
        <v>29</v>
      </c>
      <c r="D22" t="s">
        <v>38</v>
      </c>
      <c r="E22" t="s">
        <v>26</v>
      </c>
      <c r="F22" t="s">
        <v>32</v>
      </c>
      <c r="G22" t="s">
        <v>34</v>
      </c>
      <c r="H22">
        <v>5</v>
      </c>
      <c r="I22">
        <v>234.84</v>
      </c>
      <c r="J22">
        <v>1174.2</v>
      </c>
      <c r="K22" t="s">
        <v>17</v>
      </c>
      <c r="L22">
        <f>sneakers_streetwear_sales_data[[#This Row],[Amount ($)]]*0.2</f>
        <v>234.84000000000003</v>
      </c>
    </row>
    <row r="23" spans="1:12" x14ac:dyDescent="0.25">
      <c r="A23" s="1">
        <v>44744</v>
      </c>
      <c r="B23" t="s">
        <v>24</v>
      </c>
      <c r="C23" t="s">
        <v>19</v>
      </c>
      <c r="D23" t="s">
        <v>25</v>
      </c>
      <c r="E23" t="s">
        <v>30</v>
      </c>
      <c r="F23" t="s">
        <v>32</v>
      </c>
      <c r="G23" t="s">
        <v>34</v>
      </c>
      <c r="H23">
        <v>4</v>
      </c>
      <c r="I23">
        <v>293.33</v>
      </c>
      <c r="J23">
        <v>1173.32</v>
      </c>
      <c r="K23" t="s">
        <v>17</v>
      </c>
      <c r="L23">
        <f>sneakers_streetwear_sales_data[[#This Row],[Amount ($)]]*0.2</f>
        <v>234.66399999999999</v>
      </c>
    </row>
    <row r="24" spans="1:12" x14ac:dyDescent="0.25">
      <c r="A24" s="1">
        <v>44607</v>
      </c>
      <c r="B24" t="s">
        <v>28</v>
      </c>
      <c r="C24" t="s">
        <v>29</v>
      </c>
      <c r="D24" t="s">
        <v>25</v>
      </c>
      <c r="E24" t="s">
        <v>26</v>
      </c>
      <c r="F24" t="s">
        <v>21</v>
      </c>
      <c r="G24" t="s">
        <v>39</v>
      </c>
      <c r="H24">
        <v>5</v>
      </c>
      <c r="I24">
        <v>234.28</v>
      </c>
      <c r="J24">
        <v>1171.4000000000001</v>
      </c>
      <c r="K24" t="s">
        <v>23</v>
      </c>
      <c r="L24">
        <f>sneakers_streetwear_sales_data[[#This Row],[Amount ($)]]*0.2</f>
        <v>234.28000000000003</v>
      </c>
    </row>
    <row r="25" spans="1:12" x14ac:dyDescent="0.25">
      <c r="A25" s="1">
        <v>44595</v>
      </c>
      <c r="B25" t="s">
        <v>31</v>
      </c>
      <c r="C25" t="s">
        <v>19</v>
      </c>
      <c r="D25" t="s">
        <v>25</v>
      </c>
      <c r="E25" t="s">
        <v>26</v>
      </c>
      <c r="F25" t="s">
        <v>32</v>
      </c>
      <c r="G25" t="s">
        <v>39</v>
      </c>
      <c r="H25">
        <v>4</v>
      </c>
      <c r="I25">
        <v>292.75</v>
      </c>
      <c r="J25">
        <v>1171</v>
      </c>
      <c r="K25" t="s">
        <v>36</v>
      </c>
      <c r="L25">
        <f>sneakers_streetwear_sales_data[[#This Row],[Amount ($)]]*0.2</f>
        <v>234.20000000000002</v>
      </c>
    </row>
    <row r="26" spans="1:12" x14ac:dyDescent="0.25">
      <c r="A26" s="1">
        <v>44661</v>
      </c>
      <c r="B26" t="s">
        <v>24</v>
      </c>
      <c r="C26" t="s">
        <v>19</v>
      </c>
      <c r="D26" t="s">
        <v>25</v>
      </c>
      <c r="E26" t="s">
        <v>26</v>
      </c>
      <c r="F26" t="s">
        <v>21</v>
      </c>
      <c r="G26" t="s">
        <v>27</v>
      </c>
      <c r="H26">
        <v>4</v>
      </c>
      <c r="I26">
        <v>283.7</v>
      </c>
      <c r="J26">
        <v>1134.8</v>
      </c>
      <c r="K26" t="s">
        <v>17</v>
      </c>
      <c r="L26">
        <f>sneakers_streetwear_sales_data[[#This Row],[Amount ($)]]*0.2</f>
        <v>226.96</v>
      </c>
    </row>
    <row r="27" spans="1:12" x14ac:dyDescent="0.25">
      <c r="A27" s="1">
        <v>44688</v>
      </c>
      <c r="B27" t="s">
        <v>28</v>
      </c>
      <c r="C27" t="s">
        <v>29</v>
      </c>
      <c r="D27" t="s">
        <v>25</v>
      </c>
      <c r="E27" t="s">
        <v>14</v>
      </c>
      <c r="F27" t="s">
        <v>32</v>
      </c>
      <c r="G27" t="s">
        <v>22</v>
      </c>
      <c r="H27">
        <v>4</v>
      </c>
      <c r="I27">
        <v>281.54000000000002</v>
      </c>
      <c r="J27">
        <v>1126.1600000000001</v>
      </c>
      <c r="K27" t="s">
        <v>36</v>
      </c>
      <c r="L27">
        <f>sneakers_streetwear_sales_data[[#This Row],[Amount ($)]]*0.2</f>
        <v>225.23200000000003</v>
      </c>
    </row>
    <row r="28" spans="1:12" x14ac:dyDescent="0.25">
      <c r="A28" s="1">
        <v>44605</v>
      </c>
      <c r="B28" t="s">
        <v>44</v>
      </c>
      <c r="C28" t="s">
        <v>19</v>
      </c>
      <c r="D28" t="s">
        <v>20</v>
      </c>
      <c r="E28" t="s">
        <v>14</v>
      </c>
      <c r="F28" t="s">
        <v>32</v>
      </c>
      <c r="G28" t="s">
        <v>16</v>
      </c>
      <c r="H28">
        <v>4</v>
      </c>
      <c r="I28">
        <v>281</v>
      </c>
      <c r="J28">
        <v>1124</v>
      </c>
      <c r="K28" t="s">
        <v>35</v>
      </c>
      <c r="L28">
        <f>sneakers_streetwear_sales_data[[#This Row],[Amount ($)]]*0.2</f>
        <v>224.8</v>
      </c>
    </row>
    <row r="29" spans="1:12" x14ac:dyDescent="0.25">
      <c r="A29" s="1">
        <v>44624</v>
      </c>
      <c r="B29" t="s">
        <v>48</v>
      </c>
      <c r="C29" t="s">
        <v>49</v>
      </c>
      <c r="D29" t="s">
        <v>50</v>
      </c>
      <c r="E29" t="s">
        <v>26</v>
      </c>
      <c r="F29" t="s">
        <v>21</v>
      </c>
      <c r="G29" t="s">
        <v>16</v>
      </c>
      <c r="H29">
        <v>5</v>
      </c>
      <c r="I29">
        <v>224.71</v>
      </c>
      <c r="J29">
        <v>1123.55</v>
      </c>
      <c r="K29" t="s">
        <v>35</v>
      </c>
      <c r="L29">
        <f>sneakers_streetwear_sales_data[[#This Row],[Amount ($)]]*0.2</f>
        <v>224.71</v>
      </c>
    </row>
    <row r="30" spans="1:12" x14ac:dyDescent="0.25">
      <c r="A30" s="1">
        <v>44576</v>
      </c>
      <c r="B30" t="s">
        <v>37</v>
      </c>
      <c r="C30" t="s">
        <v>29</v>
      </c>
      <c r="D30" t="s">
        <v>38</v>
      </c>
      <c r="E30" t="s">
        <v>26</v>
      </c>
      <c r="F30" t="s">
        <v>40</v>
      </c>
      <c r="G30" t="s">
        <v>22</v>
      </c>
      <c r="H30">
        <v>5</v>
      </c>
      <c r="I30">
        <v>220.59</v>
      </c>
      <c r="J30">
        <v>1102.95</v>
      </c>
      <c r="K30" t="s">
        <v>36</v>
      </c>
      <c r="L30">
        <f>sneakers_streetwear_sales_data[[#This Row],[Amount ($)]]*0.2</f>
        <v>220.59000000000003</v>
      </c>
    </row>
    <row r="31" spans="1:12" x14ac:dyDescent="0.25">
      <c r="A31" s="1">
        <v>44743</v>
      </c>
      <c r="B31" t="s">
        <v>45</v>
      </c>
      <c r="C31" t="s">
        <v>46</v>
      </c>
      <c r="D31" t="s">
        <v>47</v>
      </c>
      <c r="E31" t="s">
        <v>26</v>
      </c>
      <c r="F31" t="s">
        <v>15</v>
      </c>
      <c r="G31" t="s">
        <v>33</v>
      </c>
      <c r="H31">
        <v>4</v>
      </c>
      <c r="I31">
        <v>270.55</v>
      </c>
      <c r="J31">
        <v>1082.2</v>
      </c>
      <c r="K31" t="s">
        <v>23</v>
      </c>
      <c r="L31">
        <f>sneakers_streetwear_sales_data[[#This Row],[Amount ($)]]*0.2</f>
        <v>216.44000000000003</v>
      </c>
    </row>
    <row r="32" spans="1:12" x14ac:dyDescent="0.25">
      <c r="A32" s="1">
        <v>44775</v>
      </c>
      <c r="B32" t="s">
        <v>48</v>
      </c>
      <c r="C32" t="s">
        <v>49</v>
      </c>
      <c r="D32" t="s">
        <v>50</v>
      </c>
      <c r="E32" t="s">
        <v>14</v>
      </c>
      <c r="F32" t="s">
        <v>21</v>
      </c>
      <c r="G32" t="s">
        <v>16</v>
      </c>
      <c r="H32">
        <v>5</v>
      </c>
      <c r="I32">
        <v>215.63</v>
      </c>
      <c r="J32">
        <v>1078.1500000000001</v>
      </c>
      <c r="K32" t="s">
        <v>17</v>
      </c>
      <c r="L32">
        <f>sneakers_streetwear_sales_data[[#This Row],[Amount ($)]]*0.2</f>
        <v>215.63000000000002</v>
      </c>
    </row>
    <row r="33" spans="1:12" x14ac:dyDescent="0.25">
      <c r="A33" s="1">
        <v>44713</v>
      </c>
      <c r="B33" t="s">
        <v>44</v>
      </c>
      <c r="C33" t="s">
        <v>19</v>
      </c>
      <c r="D33" t="s">
        <v>20</v>
      </c>
      <c r="E33" t="s">
        <v>30</v>
      </c>
      <c r="F33" t="s">
        <v>21</v>
      </c>
      <c r="G33" t="s">
        <v>34</v>
      </c>
      <c r="H33">
        <v>5</v>
      </c>
      <c r="I33">
        <v>215.38</v>
      </c>
      <c r="J33">
        <v>1076.9000000000001</v>
      </c>
      <c r="K33" t="s">
        <v>17</v>
      </c>
      <c r="L33">
        <f>sneakers_streetwear_sales_data[[#This Row],[Amount ($)]]*0.2</f>
        <v>215.38000000000002</v>
      </c>
    </row>
    <row r="34" spans="1:12" x14ac:dyDescent="0.25">
      <c r="A34" s="1">
        <v>44623</v>
      </c>
      <c r="B34" t="s">
        <v>24</v>
      </c>
      <c r="C34" t="s">
        <v>19</v>
      </c>
      <c r="D34" t="s">
        <v>25</v>
      </c>
      <c r="E34" t="s">
        <v>30</v>
      </c>
      <c r="F34" t="s">
        <v>21</v>
      </c>
      <c r="G34" t="s">
        <v>33</v>
      </c>
      <c r="H34">
        <v>5</v>
      </c>
      <c r="I34">
        <v>214</v>
      </c>
      <c r="J34">
        <v>1070</v>
      </c>
      <c r="K34" t="s">
        <v>36</v>
      </c>
      <c r="L34">
        <f>sneakers_streetwear_sales_data[[#This Row],[Amount ($)]]*0.2</f>
        <v>214</v>
      </c>
    </row>
    <row r="35" spans="1:12" x14ac:dyDescent="0.25">
      <c r="A35" s="1">
        <v>44715</v>
      </c>
      <c r="B35" t="s">
        <v>31</v>
      </c>
      <c r="C35" t="s">
        <v>19</v>
      </c>
      <c r="D35" t="s">
        <v>25</v>
      </c>
      <c r="E35" t="s">
        <v>26</v>
      </c>
      <c r="F35" t="s">
        <v>21</v>
      </c>
      <c r="G35" t="s">
        <v>43</v>
      </c>
      <c r="H35">
        <v>4</v>
      </c>
      <c r="I35">
        <v>265.91000000000003</v>
      </c>
      <c r="J35">
        <v>1063.6400000000001</v>
      </c>
      <c r="K35" t="s">
        <v>35</v>
      </c>
      <c r="L35">
        <f>sneakers_streetwear_sales_data[[#This Row],[Amount ($)]]*0.2</f>
        <v>212.72800000000004</v>
      </c>
    </row>
    <row r="36" spans="1:12" x14ac:dyDescent="0.25">
      <c r="A36" s="1">
        <v>44634</v>
      </c>
      <c r="B36" t="s">
        <v>44</v>
      </c>
      <c r="C36" t="s">
        <v>19</v>
      </c>
      <c r="D36" t="s">
        <v>20</v>
      </c>
      <c r="E36" t="s">
        <v>30</v>
      </c>
      <c r="F36" t="s">
        <v>32</v>
      </c>
      <c r="G36" t="s">
        <v>43</v>
      </c>
      <c r="H36">
        <v>4</v>
      </c>
      <c r="I36">
        <v>261.95999999999998</v>
      </c>
      <c r="J36">
        <v>1047.8399999999999</v>
      </c>
      <c r="K36" t="s">
        <v>23</v>
      </c>
      <c r="L36">
        <f>sneakers_streetwear_sales_data[[#This Row],[Amount ($)]]*0.2</f>
        <v>209.56799999999998</v>
      </c>
    </row>
    <row r="37" spans="1:12" x14ac:dyDescent="0.25">
      <c r="A37" s="1">
        <v>44791</v>
      </c>
      <c r="B37" t="s">
        <v>18</v>
      </c>
      <c r="C37" t="s">
        <v>19</v>
      </c>
      <c r="D37" t="s">
        <v>20</v>
      </c>
      <c r="E37" t="s">
        <v>14</v>
      </c>
      <c r="F37" t="s">
        <v>15</v>
      </c>
      <c r="G37" t="s">
        <v>27</v>
      </c>
      <c r="H37">
        <v>5</v>
      </c>
      <c r="I37">
        <v>208.24</v>
      </c>
      <c r="J37">
        <v>1041.2</v>
      </c>
      <c r="K37" t="s">
        <v>17</v>
      </c>
      <c r="L37">
        <f>sneakers_streetwear_sales_data[[#This Row],[Amount ($)]]*0.2</f>
        <v>208.24</v>
      </c>
    </row>
    <row r="38" spans="1:12" x14ac:dyDescent="0.25">
      <c r="A38" s="1">
        <v>44677</v>
      </c>
      <c r="B38" t="s">
        <v>37</v>
      </c>
      <c r="C38" t="s">
        <v>29</v>
      </c>
      <c r="D38" t="s">
        <v>38</v>
      </c>
      <c r="E38" t="s">
        <v>14</v>
      </c>
      <c r="F38" t="s">
        <v>21</v>
      </c>
      <c r="G38" t="s">
        <v>22</v>
      </c>
      <c r="H38">
        <v>4</v>
      </c>
      <c r="I38">
        <v>258.82</v>
      </c>
      <c r="J38">
        <v>1035.28</v>
      </c>
      <c r="K38" t="s">
        <v>23</v>
      </c>
      <c r="L38">
        <f>sneakers_streetwear_sales_data[[#This Row],[Amount ($)]]*0.2</f>
        <v>207.05600000000001</v>
      </c>
    </row>
    <row r="39" spans="1:12" x14ac:dyDescent="0.25">
      <c r="A39" s="1">
        <v>44727</v>
      </c>
      <c r="B39" t="s">
        <v>24</v>
      </c>
      <c r="C39" t="s">
        <v>19</v>
      </c>
      <c r="D39" t="s">
        <v>25</v>
      </c>
      <c r="E39" t="s">
        <v>26</v>
      </c>
      <c r="F39" t="s">
        <v>15</v>
      </c>
      <c r="G39" t="s">
        <v>16</v>
      </c>
      <c r="H39">
        <v>4</v>
      </c>
      <c r="I39">
        <v>258.60000000000002</v>
      </c>
      <c r="J39">
        <v>1034.4000000000001</v>
      </c>
      <c r="K39" t="s">
        <v>17</v>
      </c>
      <c r="L39">
        <f>sneakers_streetwear_sales_data[[#This Row],[Amount ($)]]*0.2</f>
        <v>206.88000000000002</v>
      </c>
    </row>
    <row r="40" spans="1:12" x14ac:dyDescent="0.25">
      <c r="A40" s="1">
        <v>44742</v>
      </c>
      <c r="B40" t="s">
        <v>11</v>
      </c>
      <c r="C40" t="s">
        <v>12</v>
      </c>
      <c r="D40" t="s">
        <v>13</v>
      </c>
      <c r="E40" t="s">
        <v>30</v>
      </c>
      <c r="F40" t="s">
        <v>32</v>
      </c>
      <c r="G40" t="s">
        <v>43</v>
      </c>
      <c r="H40">
        <v>5</v>
      </c>
      <c r="I40">
        <v>204.35</v>
      </c>
      <c r="J40">
        <v>1021.75</v>
      </c>
      <c r="K40" t="s">
        <v>36</v>
      </c>
      <c r="L40">
        <f>sneakers_streetwear_sales_data[[#This Row],[Amount ($)]]*0.2</f>
        <v>204.35000000000002</v>
      </c>
    </row>
    <row r="41" spans="1:12" x14ac:dyDescent="0.25">
      <c r="A41" s="1">
        <v>44617</v>
      </c>
      <c r="B41" t="s">
        <v>48</v>
      </c>
      <c r="C41" t="s">
        <v>49</v>
      </c>
      <c r="D41" t="s">
        <v>50</v>
      </c>
      <c r="E41" t="s">
        <v>26</v>
      </c>
      <c r="F41" t="s">
        <v>21</v>
      </c>
      <c r="G41" t="s">
        <v>34</v>
      </c>
      <c r="H41">
        <v>5</v>
      </c>
      <c r="I41">
        <v>203.5</v>
      </c>
      <c r="J41">
        <v>1017.5</v>
      </c>
      <c r="K41" t="s">
        <v>17</v>
      </c>
      <c r="L41">
        <f>sneakers_streetwear_sales_data[[#This Row],[Amount ($)]]*0.2</f>
        <v>203.5</v>
      </c>
    </row>
    <row r="42" spans="1:12" x14ac:dyDescent="0.25">
      <c r="A42" s="1">
        <v>44687</v>
      </c>
      <c r="B42" t="s">
        <v>48</v>
      </c>
      <c r="C42" t="s">
        <v>49</v>
      </c>
      <c r="D42" t="s">
        <v>50</v>
      </c>
      <c r="E42" t="s">
        <v>26</v>
      </c>
      <c r="F42" t="s">
        <v>40</v>
      </c>
      <c r="G42" t="s">
        <v>16</v>
      </c>
      <c r="H42">
        <v>4</v>
      </c>
      <c r="I42">
        <v>250.26</v>
      </c>
      <c r="J42">
        <v>1001.04</v>
      </c>
      <c r="K42" t="s">
        <v>17</v>
      </c>
      <c r="L42">
        <f>sneakers_streetwear_sales_data[[#This Row],[Amount ($)]]*0.2</f>
        <v>200.208</v>
      </c>
    </row>
    <row r="43" spans="1:12" x14ac:dyDescent="0.25">
      <c r="A43" s="1">
        <v>44791</v>
      </c>
      <c r="B43" t="s">
        <v>11</v>
      </c>
      <c r="C43" t="s">
        <v>12</v>
      </c>
      <c r="D43" t="s">
        <v>13</v>
      </c>
      <c r="E43" t="s">
        <v>30</v>
      </c>
      <c r="F43" t="s">
        <v>40</v>
      </c>
      <c r="G43" t="s">
        <v>39</v>
      </c>
      <c r="H43">
        <v>4</v>
      </c>
      <c r="I43">
        <v>250.12</v>
      </c>
      <c r="J43">
        <v>1000.48</v>
      </c>
      <c r="K43" t="s">
        <v>17</v>
      </c>
      <c r="L43">
        <f>sneakers_streetwear_sales_data[[#This Row],[Amount ($)]]*0.2</f>
        <v>200.096</v>
      </c>
    </row>
    <row r="44" spans="1:12" x14ac:dyDescent="0.25">
      <c r="A44" s="1">
        <v>44717</v>
      </c>
      <c r="B44" t="s">
        <v>31</v>
      </c>
      <c r="C44" t="s">
        <v>19</v>
      </c>
      <c r="D44" t="s">
        <v>25</v>
      </c>
      <c r="E44" t="s">
        <v>30</v>
      </c>
      <c r="F44" t="s">
        <v>32</v>
      </c>
      <c r="G44" t="s">
        <v>33</v>
      </c>
      <c r="H44">
        <v>5</v>
      </c>
      <c r="I44">
        <v>199.42</v>
      </c>
      <c r="J44">
        <v>997.1</v>
      </c>
      <c r="K44" t="s">
        <v>23</v>
      </c>
      <c r="L44">
        <f>sneakers_streetwear_sales_data[[#This Row],[Amount ($)]]*0.2</f>
        <v>199.42000000000002</v>
      </c>
    </row>
    <row r="45" spans="1:12" x14ac:dyDescent="0.25">
      <c r="A45" s="1">
        <v>44655</v>
      </c>
      <c r="B45" t="s">
        <v>28</v>
      </c>
      <c r="C45" t="s">
        <v>29</v>
      </c>
      <c r="D45" t="s">
        <v>25</v>
      </c>
      <c r="E45" t="s">
        <v>30</v>
      </c>
      <c r="F45" t="s">
        <v>32</v>
      </c>
      <c r="G45" t="s">
        <v>27</v>
      </c>
      <c r="H45">
        <v>4</v>
      </c>
      <c r="I45">
        <v>246.66</v>
      </c>
      <c r="J45">
        <v>986.64</v>
      </c>
      <c r="K45" t="s">
        <v>23</v>
      </c>
      <c r="L45">
        <f>sneakers_streetwear_sales_data[[#This Row],[Amount ($)]]*0.2</f>
        <v>197.328</v>
      </c>
    </row>
    <row r="46" spans="1:12" x14ac:dyDescent="0.25">
      <c r="A46" s="1">
        <v>44755</v>
      </c>
      <c r="B46" t="s">
        <v>28</v>
      </c>
      <c r="C46" t="s">
        <v>29</v>
      </c>
      <c r="D46" t="s">
        <v>25</v>
      </c>
      <c r="E46" t="s">
        <v>30</v>
      </c>
      <c r="F46" t="s">
        <v>15</v>
      </c>
      <c r="G46" t="s">
        <v>22</v>
      </c>
      <c r="H46">
        <v>4</v>
      </c>
      <c r="I46">
        <v>245.44</v>
      </c>
      <c r="J46">
        <v>981.76</v>
      </c>
      <c r="K46" t="s">
        <v>23</v>
      </c>
      <c r="L46">
        <f>sneakers_streetwear_sales_data[[#This Row],[Amount ($)]]*0.2</f>
        <v>196.352</v>
      </c>
    </row>
    <row r="47" spans="1:12" x14ac:dyDescent="0.25">
      <c r="A47" s="1">
        <v>44620</v>
      </c>
      <c r="B47" t="s">
        <v>37</v>
      </c>
      <c r="C47" t="s">
        <v>29</v>
      </c>
      <c r="D47" t="s">
        <v>38</v>
      </c>
      <c r="E47" t="s">
        <v>26</v>
      </c>
      <c r="F47" t="s">
        <v>32</v>
      </c>
      <c r="G47" t="s">
        <v>22</v>
      </c>
      <c r="H47">
        <v>5</v>
      </c>
      <c r="I47">
        <v>195.57</v>
      </c>
      <c r="J47">
        <v>977.85</v>
      </c>
      <c r="K47" t="s">
        <v>23</v>
      </c>
      <c r="L47">
        <f>sneakers_streetwear_sales_data[[#This Row],[Amount ($)]]*0.2</f>
        <v>195.57000000000002</v>
      </c>
    </row>
    <row r="48" spans="1:12" x14ac:dyDescent="0.25">
      <c r="A48" s="1">
        <v>44725</v>
      </c>
      <c r="B48" t="s">
        <v>41</v>
      </c>
      <c r="C48" t="s">
        <v>29</v>
      </c>
      <c r="D48" t="s">
        <v>42</v>
      </c>
      <c r="E48" t="s">
        <v>30</v>
      </c>
      <c r="F48" t="s">
        <v>32</v>
      </c>
      <c r="G48" t="s">
        <v>34</v>
      </c>
      <c r="H48">
        <v>4</v>
      </c>
      <c r="I48">
        <v>243.48</v>
      </c>
      <c r="J48">
        <v>973.92</v>
      </c>
      <c r="K48" t="s">
        <v>36</v>
      </c>
      <c r="L48">
        <f>sneakers_streetwear_sales_data[[#This Row],[Amount ($)]]*0.2</f>
        <v>194.78399999999999</v>
      </c>
    </row>
    <row r="49" spans="1:12" x14ac:dyDescent="0.25">
      <c r="A49" s="1">
        <v>44666</v>
      </c>
      <c r="B49" t="s">
        <v>48</v>
      </c>
      <c r="C49" t="s">
        <v>49</v>
      </c>
      <c r="D49" t="s">
        <v>50</v>
      </c>
      <c r="E49" t="s">
        <v>26</v>
      </c>
      <c r="F49" t="s">
        <v>21</v>
      </c>
      <c r="G49" t="s">
        <v>16</v>
      </c>
      <c r="H49">
        <v>4</v>
      </c>
      <c r="I49">
        <v>242.44</v>
      </c>
      <c r="J49">
        <v>969.76</v>
      </c>
      <c r="K49" t="s">
        <v>23</v>
      </c>
      <c r="L49">
        <f>sneakers_streetwear_sales_data[[#This Row],[Amount ($)]]*0.2</f>
        <v>193.952</v>
      </c>
    </row>
    <row r="50" spans="1:12" x14ac:dyDescent="0.25">
      <c r="A50" s="1">
        <v>44709</v>
      </c>
      <c r="B50" t="s">
        <v>37</v>
      </c>
      <c r="C50" t="s">
        <v>29</v>
      </c>
      <c r="D50" t="s">
        <v>38</v>
      </c>
      <c r="E50" t="s">
        <v>14</v>
      </c>
      <c r="F50" t="s">
        <v>21</v>
      </c>
      <c r="G50" t="s">
        <v>39</v>
      </c>
      <c r="H50">
        <v>4</v>
      </c>
      <c r="I50">
        <v>240.64</v>
      </c>
      <c r="J50">
        <v>962.56</v>
      </c>
      <c r="K50" t="s">
        <v>23</v>
      </c>
      <c r="L50">
        <f>sneakers_streetwear_sales_data[[#This Row],[Amount ($)]]*0.2</f>
        <v>192.512</v>
      </c>
    </row>
    <row r="51" spans="1:12" x14ac:dyDescent="0.25">
      <c r="A51" s="1">
        <v>44626</v>
      </c>
      <c r="B51" t="s">
        <v>31</v>
      </c>
      <c r="C51" t="s">
        <v>19</v>
      </c>
      <c r="D51" t="s">
        <v>25</v>
      </c>
      <c r="E51" t="s">
        <v>30</v>
      </c>
      <c r="F51" t="s">
        <v>32</v>
      </c>
      <c r="G51" t="s">
        <v>39</v>
      </c>
      <c r="H51">
        <v>4</v>
      </c>
      <c r="I51">
        <v>239.54</v>
      </c>
      <c r="J51">
        <v>958.16</v>
      </c>
      <c r="K51" t="s">
        <v>36</v>
      </c>
      <c r="L51">
        <f>sneakers_streetwear_sales_data[[#This Row],[Amount ($)]]*0.2</f>
        <v>191.63200000000001</v>
      </c>
    </row>
    <row r="52" spans="1:12" x14ac:dyDescent="0.25">
      <c r="A52" s="1">
        <v>44740</v>
      </c>
      <c r="B52" t="s">
        <v>11</v>
      </c>
      <c r="C52" t="s">
        <v>12</v>
      </c>
      <c r="D52" t="s">
        <v>13</v>
      </c>
      <c r="E52" t="s">
        <v>14</v>
      </c>
      <c r="F52" t="s">
        <v>15</v>
      </c>
      <c r="G52" t="s">
        <v>34</v>
      </c>
      <c r="H52">
        <v>4</v>
      </c>
      <c r="I52">
        <v>238.52</v>
      </c>
      <c r="J52">
        <v>954.08</v>
      </c>
      <c r="K52" t="s">
        <v>23</v>
      </c>
      <c r="L52">
        <f>sneakers_streetwear_sales_data[[#This Row],[Amount ($)]]*0.2</f>
        <v>190.81600000000003</v>
      </c>
    </row>
    <row r="53" spans="1:12" x14ac:dyDescent="0.25">
      <c r="A53" s="1">
        <v>44748</v>
      </c>
      <c r="B53" t="s">
        <v>44</v>
      </c>
      <c r="C53" t="s">
        <v>19</v>
      </c>
      <c r="D53" t="s">
        <v>20</v>
      </c>
      <c r="E53" t="s">
        <v>26</v>
      </c>
      <c r="F53" t="s">
        <v>32</v>
      </c>
      <c r="G53" t="s">
        <v>27</v>
      </c>
      <c r="H53">
        <v>5</v>
      </c>
      <c r="I53">
        <v>190.03</v>
      </c>
      <c r="J53">
        <v>950.15</v>
      </c>
      <c r="K53" t="s">
        <v>23</v>
      </c>
      <c r="L53">
        <f>sneakers_streetwear_sales_data[[#This Row],[Amount ($)]]*0.2</f>
        <v>190.03</v>
      </c>
    </row>
    <row r="54" spans="1:12" x14ac:dyDescent="0.25">
      <c r="A54" s="1">
        <v>44637</v>
      </c>
      <c r="B54" t="s">
        <v>18</v>
      </c>
      <c r="C54" t="s">
        <v>19</v>
      </c>
      <c r="D54" t="s">
        <v>20</v>
      </c>
      <c r="E54" t="s">
        <v>26</v>
      </c>
      <c r="F54" t="s">
        <v>40</v>
      </c>
      <c r="G54" t="s">
        <v>43</v>
      </c>
      <c r="H54">
        <v>5</v>
      </c>
      <c r="I54">
        <v>189.94</v>
      </c>
      <c r="J54">
        <v>949.7</v>
      </c>
      <c r="K54" t="s">
        <v>23</v>
      </c>
      <c r="L54">
        <f>sneakers_streetwear_sales_data[[#This Row],[Amount ($)]]*0.2</f>
        <v>189.94000000000003</v>
      </c>
    </row>
    <row r="55" spans="1:12" x14ac:dyDescent="0.25">
      <c r="A55" s="1">
        <v>44643</v>
      </c>
      <c r="B55" t="s">
        <v>28</v>
      </c>
      <c r="C55" t="s">
        <v>29</v>
      </c>
      <c r="D55" t="s">
        <v>25</v>
      </c>
      <c r="E55" t="s">
        <v>30</v>
      </c>
      <c r="F55" t="s">
        <v>40</v>
      </c>
      <c r="G55" t="s">
        <v>22</v>
      </c>
      <c r="H55">
        <v>5</v>
      </c>
      <c r="I55">
        <v>188.61</v>
      </c>
      <c r="J55">
        <v>943.05</v>
      </c>
      <c r="K55" t="s">
        <v>36</v>
      </c>
      <c r="L55">
        <f>sneakers_streetwear_sales_data[[#This Row],[Amount ($)]]*0.2</f>
        <v>188.61</v>
      </c>
    </row>
    <row r="56" spans="1:12" x14ac:dyDescent="0.25">
      <c r="A56" s="1">
        <v>44794</v>
      </c>
      <c r="B56" t="s">
        <v>24</v>
      </c>
      <c r="C56" t="s">
        <v>19</v>
      </c>
      <c r="D56" t="s">
        <v>25</v>
      </c>
      <c r="E56" t="s">
        <v>26</v>
      </c>
      <c r="F56" t="s">
        <v>21</v>
      </c>
      <c r="G56" t="s">
        <v>22</v>
      </c>
      <c r="H56">
        <v>5</v>
      </c>
      <c r="I56">
        <v>183.55</v>
      </c>
      <c r="J56">
        <v>917.75</v>
      </c>
      <c r="K56" t="s">
        <v>23</v>
      </c>
      <c r="L56">
        <f>sneakers_streetwear_sales_data[[#This Row],[Amount ($)]]*0.2</f>
        <v>183.55</v>
      </c>
    </row>
    <row r="57" spans="1:12" x14ac:dyDescent="0.25">
      <c r="A57" s="1">
        <v>44758</v>
      </c>
      <c r="B57" t="s">
        <v>24</v>
      </c>
      <c r="C57" t="s">
        <v>19</v>
      </c>
      <c r="D57" t="s">
        <v>25</v>
      </c>
      <c r="E57" t="s">
        <v>30</v>
      </c>
      <c r="F57" t="s">
        <v>40</v>
      </c>
      <c r="G57" t="s">
        <v>33</v>
      </c>
      <c r="H57">
        <v>4</v>
      </c>
      <c r="I57">
        <v>228.88</v>
      </c>
      <c r="J57">
        <v>915.52</v>
      </c>
      <c r="K57" t="s">
        <v>17</v>
      </c>
      <c r="L57">
        <f>sneakers_streetwear_sales_data[[#This Row],[Amount ($)]]*0.2</f>
        <v>183.10400000000001</v>
      </c>
    </row>
    <row r="58" spans="1:12" x14ac:dyDescent="0.25">
      <c r="A58" s="1">
        <v>44590</v>
      </c>
      <c r="B58" t="s">
        <v>37</v>
      </c>
      <c r="C58" t="s">
        <v>29</v>
      </c>
      <c r="D58" t="s">
        <v>38</v>
      </c>
      <c r="E58" t="s">
        <v>30</v>
      </c>
      <c r="F58" t="s">
        <v>32</v>
      </c>
      <c r="G58" t="s">
        <v>34</v>
      </c>
      <c r="H58">
        <v>4</v>
      </c>
      <c r="I58">
        <v>228.46</v>
      </c>
      <c r="J58">
        <v>913.84</v>
      </c>
      <c r="K58" t="s">
        <v>23</v>
      </c>
      <c r="L58">
        <f>sneakers_streetwear_sales_data[[#This Row],[Amount ($)]]*0.2</f>
        <v>182.76800000000003</v>
      </c>
    </row>
    <row r="59" spans="1:12" x14ac:dyDescent="0.25">
      <c r="A59" s="1">
        <v>44639</v>
      </c>
      <c r="B59" t="s">
        <v>41</v>
      </c>
      <c r="C59" t="s">
        <v>29</v>
      </c>
      <c r="D59" t="s">
        <v>42</v>
      </c>
      <c r="E59" t="s">
        <v>30</v>
      </c>
      <c r="F59" t="s">
        <v>21</v>
      </c>
      <c r="G59" t="s">
        <v>43</v>
      </c>
      <c r="H59">
        <v>5</v>
      </c>
      <c r="I59">
        <v>179.54</v>
      </c>
      <c r="J59">
        <v>897.7</v>
      </c>
      <c r="K59" t="s">
        <v>35</v>
      </c>
      <c r="L59">
        <f>sneakers_streetwear_sales_data[[#This Row],[Amount ($)]]*0.2</f>
        <v>179.54000000000002</v>
      </c>
    </row>
    <row r="60" spans="1:12" x14ac:dyDescent="0.25">
      <c r="A60" s="1">
        <v>44714</v>
      </c>
      <c r="B60" t="s">
        <v>37</v>
      </c>
      <c r="C60" t="s">
        <v>29</v>
      </c>
      <c r="D60" t="s">
        <v>38</v>
      </c>
      <c r="E60" t="s">
        <v>26</v>
      </c>
      <c r="F60" t="s">
        <v>32</v>
      </c>
      <c r="G60" t="s">
        <v>39</v>
      </c>
      <c r="H60">
        <v>3</v>
      </c>
      <c r="I60">
        <v>296.55</v>
      </c>
      <c r="J60">
        <v>889.65</v>
      </c>
      <c r="K60" t="s">
        <v>17</v>
      </c>
      <c r="L60">
        <f>sneakers_streetwear_sales_data[[#This Row],[Amount ($)]]*0.2</f>
        <v>177.93</v>
      </c>
    </row>
    <row r="61" spans="1:12" x14ac:dyDescent="0.25">
      <c r="A61" s="1">
        <v>44799</v>
      </c>
      <c r="B61" t="s">
        <v>24</v>
      </c>
      <c r="C61" t="s">
        <v>19</v>
      </c>
      <c r="D61" t="s">
        <v>25</v>
      </c>
      <c r="E61" t="s">
        <v>26</v>
      </c>
      <c r="F61" t="s">
        <v>32</v>
      </c>
      <c r="G61" t="s">
        <v>27</v>
      </c>
      <c r="H61">
        <v>3</v>
      </c>
      <c r="I61">
        <v>295.75</v>
      </c>
      <c r="J61">
        <v>887.25</v>
      </c>
      <c r="K61" t="s">
        <v>17</v>
      </c>
      <c r="L61">
        <f>sneakers_streetwear_sales_data[[#This Row],[Amount ($)]]*0.2</f>
        <v>177.45000000000002</v>
      </c>
    </row>
    <row r="62" spans="1:12" x14ac:dyDescent="0.25">
      <c r="A62" s="1">
        <v>44688</v>
      </c>
      <c r="B62" t="s">
        <v>45</v>
      </c>
      <c r="C62" t="s">
        <v>46</v>
      </c>
      <c r="D62" t="s">
        <v>47</v>
      </c>
      <c r="E62" t="s">
        <v>30</v>
      </c>
      <c r="F62" t="s">
        <v>40</v>
      </c>
      <c r="G62" t="s">
        <v>22</v>
      </c>
      <c r="H62">
        <v>3</v>
      </c>
      <c r="I62">
        <v>295.25</v>
      </c>
      <c r="J62">
        <v>885.75</v>
      </c>
      <c r="K62" t="s">
        <v>36</v>
      </c>
      <c r="L62">
        <f>sneakers_streetwear_sales_data[[#This Row],[Amount ($)]]*0.2</f>
        <v>177.15</v>
      </c>
    </row>
    <row r="63" spans="1:12" x14ac:dyDescent="0.25">
      <c r="A63" s="1">
        <v>44704</v>
      </c>
      <c r="B63" t="s">
        <v>37</v>
      </c>
      <c r="C63" t="s">
        <v>29</v>
      </c>
      <c r="D63" t="s">
        <v>38</v>
      </c>
      <c r="E63" t="s">
        <v>26</v>
      </c>
      <c r="F63" t="s">
        <v>40</v>
      </c>
      <c r="G63" t="s">
        <v>22</v>
      </c>
      <c r="H63">
        <v>4</v>
      </c>
      <c r="I63">
        <v>221.31</v>
      </c>
      <c r="J63">
        <v>885.24</v>
      </c>
      <c r="K63" t="s">
        <v>17</v>
      </c>
      <c r="L63">
        <f>sneakers_streetwear_sales_data[[#This Row],[Amount ($)]]*0.2</f>
        <v>177.048</v>
      </c>
    </row>
    <row r="64" spans="1:12" x14ac:dyDescent="0.25">
      <c r="A64" s="1">
        <v>44564</v>
      </c>
      <c r="B64" t="s">
        <v>24</v>
      </c>
      <c r="C64" t="s">
        <v>19</v>
      </c>
      <c r="D64" t="s">
        <v>25</v>
      </c>
      <c r="E64" t="s">
        <v>26</v>
      </c>
      <c r="F64" t="s">
        <v>21</v>
      </c>
      <c r="G64" t="s">
        <v>22</v>
      </c>
      <c r="H64">
        <v>5</v>
      </c>
      <c r="I64">
        <v>176.98</v>
      </c>
      <c r="J64">
        <v>884.9</v>
      </c>
      <c r="K64" t="s">
        <v>17</v>
      </c>
      <c r="L64">
        <f>sneakers_streetwear_sales_data[[#This Row],[Amount ($)]]*0.2</f>
        <v>176.98000000000002</v>
      </c>
    </row>
    <row r="65" spans="1:12" x14ac:dyDescent="0.25">
      <c r="A65" s="1">
        <v>44692</v>
      </c>
      <c r="B65" t="s">
        <v>18</v>
      </c>
      <c r="C65" t="s">
        <v>19</v>
      </c>
      <c r="D65" t="s">
        <v>20</v>
      </c>
      <c r="E65" t="s">
        <v>14</v>
      </c>
      <c r="F65" t="s">
        <v>32</v>
      </c>
      <c r="G65" t="s">
        <v>27</v>
      </c>
      <c r="H65">
        <v>4</v>
      </c>
      <c r="I65">
        <v>218.82</v>
      </c>
      <c r="J65">
        <v>875.28</v>
      </c>
      <c r="K65" t="s">
        <v>36</v>
      </c>
      <c r="L65">
        <f>sneakers_streetwear_sales_data[[#This Row],[Amount ($)]]*0.2</f>
        <v>175.05600000000001</v>
      </c>
    </row>
    <row r="66" spans="1:12" x14ac:dyDescent="0.25">
      <c r="A66" s="1">
        <v>44570</v>
      </c>
      <c r="B66" t="s">
        <v>18</v>
      </c>
      <c r="C66" t="s">
        <v>19</v>
      </c>
      <c r="D66" t="s">
        <v>20</v>
      </c>
      <c r="E66" t="s">
        <v>26</v>
      </c>
      <c r="F66" t="s">
        <v>15</v>
      </c>
      <c r="G66" t="s">
        <v>43</v>
      </c>
      <c r="H66">
        <v>3</v>
      </c>
      <c r="I66">
        <v>291.29000000000002</v>
      </c>
      <c r="J66">
        <v>873.87</v>
      </c>
      <c r="K66" t="s">
        <v>36</v>
      </c>
      <c r="L66">
        <f>sneakers_streetwear_sales_data[[#This Row],[Amount ($)]]*0.2</f>
        <v>174.774</v>
      </c>
    </row>
    <row r="67" spans="1:12" x14ac:dyDescent="0.25">
      <c r="A67" s="1">
        <v>44601</v>
      </c>
      <c r="B67" t="s">
        <v>31</v>
      </c>
      <c r="C67" t="s">
        <v>19</v>
      </c>
      <c r="D67" t="s">
        <v>25</v>
      </c>
      <c r="E67" t="s">
        <v>26</v>
      </c>
      <c r="F67" t="s">
        <v>21</v>
      </c>
      <c r="G67" t="s">
        <v>43</v>
      </c>
      <c r="H67">
        <v>4</v>
      </c>
      <c r="I67">
        <v>214.93</v>
      </c>
      <c r="J67">
        <v>859.72</v>
      </c>
      <c r="K67" t="s">
        <v>17</v>
      </c>
      <c r="L67">
        <f>sneakers_streetwear_sales_data[[#This Row],[Amount ($)]]*0.2</f>
        <v>171.94400000000002</v>
      </c>
    </row>
    <row r="68" spans="1:12" x14ac:dyDescent="0.25">
      <c r="A68" s="1">
        <v>44599</v>
      </c>
      <c r="B68" t="s">
        <v>37</v>
      </c>
      <c r="C68" t="s">
        <v>29</v>
      </c>
      <c r="D68" t="s">
        <v>38</v>
      </c>
      <c r="E68" t="s">
        <v>30</v>
      </c>
      <c r="F68" t="s">
        <v>32</v>
      </c>
      <c r="G68" t="s">
        <v>22</v>
      </c>
      <c r="H68">
        <v>4</v>
      </c>
      <c r="I68">
        <v>213.82</v>
      </c>
      <c r="J68">
        <v>855.28</v>
      </c>
      <c r="K68" t="s">
        <v>17</v>
      </c>
      <c r="L68">
        <f>sneakers_streetwear_sales_data[[#This Row],[Amount ($)]]*0.2</f>
        <v>171.05600000000001</v>
      </c>
    </row>
    <row r="69" spans="1:12" x14ac:dyDescent="0.25">
      <c r="A69" s="1">
        <v>44605</v>
      </c>
      <c r="B69" t="s">
        <v>45</v>
      </c>
      <c r="C69" t="s">
        <v>46</v>
      </c>
      <c r="D69" t="s">
        <v>47</v>
      </c>
      <c r="E69" t="s">
        <v>26</v>
      </c>
      <c r="F69" t="s">
        <v>21</v>
      </c>
      <c r="G69" t="s">
        <v>27</v>
      </c>
      <c r="H69">
        <v>4</v>
      </c>
      <c r="I69">
        <v>212.66</v>
      </c>
      <c r="J69">
        <v>850.64</v>
      </c>
      <c r="K69" t="s">
        <v>36</v>
      </c>
      <c r="L69">
        <f>sneakers_streetwear_sales_data[[#This Row],[Amount ($)]]*0.2</f>
        <v>170.12800000000001</v>
      </c>
    </row>
    <row r="70" spans="1:12" x14ac:dyDescent="0.25">
      <c r="A70" s="1">
        <v>44633</v>
      </c>
      <c r="B70" t="s">
        <v>18</v>
      </c>
      <c r="C70" t="s">
        <v>19</v>
      </c>
      <c r="D70" t="s">
        <v>20</v>
      </c>
      <c r="E70" t="s">
        <v>26</v>
      </c>
      <c r="F70" t="s">
        <v>40</v>
      </c>
      <c r="G70" t="s">
        <v>27</v>
      </c>
      <c r="H70">
        <v>4</v>
      </c>
      <c r="I70">
        <v>211.37</v>
      </c>
      <c r="J70">
        <v>845.48</v>
      </c>
      <c r="K70" t="s">
        <v>17</v>
      </c>
      <c r="L70">
        <f>sneakers_streetwear_sales_data[[#This Row],[Amount ($)]]*0.2</f>
        <v>169.096</v>
      </c>
    </row>
    <row r="71" spans="1:12" x14ac:dyDescent="0.25">
      <c r="A71" s="1">
        <v>44577</v>
      </c>
      <c r="B71" t="s">
        <v>24</v>
      </c>
      <c r="C71" t="s">
        <v>19</v>
      </c>
      <c r="D71" t="s">
        <v>25</v>
      </c>
      <c r="E71" t="s">
        <v>26</v>
      </c>
      <c r="F71" t="s">
        <v>15</v>
      </c>
      <c r="G71" t="s">
        <v>34</v>
      </c>
      <c r="H71">
        <v>5</v>
      </c>
      <c r="I71">
        <v>168.7</v>
      </c>
      <c r="J71">
        <v>843.5</v>
      </c>
      <c r="K71" t="s">
        <v>36</v>
      </c>
      <c r="L71">
        <f>sneakers_streetwear_sales_data[[#This Row],[Amount ($)]]*0.2</f>
        <v>168.70000000000002</v>
      </c>
    </row>
    <row r="72" spans="1:12" x14ac:dyDescent="0.25">
      <c r="A72" s="1">
        <v>44636</v>
      </c>
      <c r="B72" t="s">
        <v>18</v>
      </c>
      <c r="C72" t="s">
        <v>19</v>
      </c>
      <c r="D72" t="s">
        <v>20</v>
      </c>
      <c r="E72" t="s">
        <v>14</v>
      </c>
      <c r="F72" t="s">
        <v>32</v>
      </c>
      <c r="G72" t="s">
        <v>34</v>
      </c>
      <c r="H72">
        <v>3</v>
      </c>
      <c r="I72">
        <v>280.64</v>
      </c>
      <c r="J72">
        <v>841.92</v>
      </c>
      <c r="K72" t="s">
        <v>17</v>
      </c>
      <c r="L72">
        <f>sneakers_streetwear_sales_data[[#This Row],[Amount ($)]]*0.2</f>
        <v>168.38400000000001</v>
      </c>
    </row>
    <row r="73" spans="1:12" x14ac:dyDescent="0.25">
      <c r="A73" s="1">
        <v>44709</v>
      </c>
      <c r="B73" t="s">
        <v>31</v>
      </c>
      <c r="C73" t="s">
        <v>19</v>
      </c>
      <c r="D73" t="s">
        <v>25</v>
      </c>
      <c r="E73" t="s">
        <v>30</v>
      </c>
      <c r="F73" t="s">
        <v>40</v>
      </c>
      <c r="G73" t="s">
        <v>39</v>
      </c>
      <c r="H73">
        <v>3</v>
      </c>
      <c r="I73">
        <v>278.14999999999998</v>
      </c>
      <c r="J73">
        <v>834.45</v>
      </c>
      <c r="K73" t="s">
        <v>36</v>
      </c>
      <c r="L73">
        <f>sneakers_streetwear_sales_data[[#This Row],[Amount ($)]]*0.2</f>
        <v>166.89000000000001</v>
      </c>
    </row>
    <row r="74" spans="1:12" x14ac:dyDescent="0.25">
      <c r="A74" s="1">
        <v>44588</v>
      </c>
      <c r="B74" t="s">
        <v>44</v>
      </c>
      <c r="C74" t="s">
        <v>19</v>
      </c>
      <c r="D74" t="s">
        <v>20</v>
      </c>
      <c r="E74" t="s">
        <v>30</v>
      </c>
      <c r="F74" t="s">
        <v>21</v>
      </c>
      <c r="G74" t="s">
        <v>16</v>
      </c>
      <c r="H74">
        <v>4</v>
      </c>
      <c r="I74">
        <v>208.19</v>
      </c>
      <c r="J74">
        <v>832.76</v>
      </c>
      <c r="K74" t="s">
        <v>36</v>
      </c>
      <c r="L74">
        <f>sneakers_streetwear_sales_data[[#This Row],[Amount ($)]]*0.2</f>
        <v>166.55200000000002</v>
      </c>
    </row>
    <row r="75" spans="1:12" x14ac:dyDescent="0.25">
      <c r="A75" s="1">
        <v>44627</v>
      </c>
      <c r="B75" t="s">
        <v>45</v>
      </c>
      <c r="C75" t="s">
        <v>46</v>
      </c>
      <c r="D75" t="s">
        <v>47</v>
      </c>
      <c r="E75" t="s">
        <v>30</v>
      </c>
      <c r="F75" t="s">
        <v>40</v>
      </c>
      <c r="G75" t="s">
        <v>16</v>
      </c>
      <c r="H75">
        <v>4</v>
      </c>
      <c r="I75">
        <v>207.05</v>
      </c>
      <c r="J75">
        <v>828.2</v>
      </c>
      <c r="K75" t="s">
        <v>35</v>
      </c>
      <c r="L75">
        <f>sneakers_streetwear_sales_data[[#This Row],[Amount ($)]]*0.2</f>
        <v>165.64000000000001</v>
      </c>
    </row>
    <row r="76" spans="1:12" x14ac:dyDescent="0.25">
      <c r="A76" s="1">
        <v>44583</v>
      </c>
      <c r="B76" t="s">
        <v>18</v>
      </c>
      <c r="C76" t="s">
        <v>19</v>
      </c>
      <c r="D76" t="s">
        <v>20</v>
      </c>
      <c r="E76" t="s">
        <v>14</v>
      </c>
      <c r="F76" t="s">
        <v>15</v>
      </c>
      <c r="G76" t="s">
        <v>43</v>
      </c>
      <c r="H76">
        <v>4</v>
      </c>
      <c r="I76">
        <v>206.29</v>
      </c>
      <c r="J76">
        <v>825.16</v>
      </c>
      <c r="K76" t="s">
        <v>36</v>
      </c>
      <c r="L76">
        <f>sneakers_streetwear_sales_data[[#This Row],[Amount ($)]]*0.2</f>
        <v>165.03200000000001</v>
      </c>
    </row>
    <row r="77" spans="1:12" x14ac:dyDescent="0.25">
      <c r="A77" s="1">
        <v>44656</v>
      </c>
      <c r="B77" t="s">
        <v>37</v>
      </c>
      <c r="C77" t="s">
        <v>29</v>
      </c>
      <c r="D77" t="s">
        <v>38</v>
      </c>
      <c r="E77" t="s">
        <v>26</v>
      </c>
      <c r="F77" t="s">
        <v>21</v>
      </c>
      <c r="G77" t="s">
        <v>39</v>
      </c>
      <c r="H77">
        <v>3</v>
      </c>
      <c r="I77">
        <v>274.23</v>
      </c>
      <c r="J77">
        <v>822.69</v>
      </c>
      <c r="K77" t="s">
        <v>23</v>
      </c>
      <c r="L77">
        <f>sneakers_streetwear_sales_data[[#This Row],[Amount ($)]]*0.2</f>
        <v>164.53800000000001</v>
      </c>
    </row>
    <row r="78" spans="1:12" x14ac:dyDescent="0.25">
      <c r="A78" s="1">
        <v>44714</v>
      </c>
      <c r="B78" t="s">
        <v>24</v>
      </c>
      <c r="C78" t="s">
        <v>19</v>
      </c>
      <c r="D78" t="s">
        <v>25</v>
      </c>
      <c r="E78" t="s">
        <v>30</v>
      </c>
      <c r="F78" t="s">
        <v>15</v>
      </c>
      <c r="G78" t="s">
        <v>34</v>
      </c>
      <c r="H78">
        <v>4</v>
      </c>
      <c r="I78">
        <v>205.64</v>
      </c>
      <c r="J78">
        <v>822.56</v>
      </c>
      <c r="K78" t="s">
        <v>36</v>
      </c>
      <c r="L78">
        <f>sneakers_streetwear_sales_data[[#This Row],[Amount ($)]]*0.2</f>
        <v>164.512</v>
      </c>
    </row>
    <row r="79" spans="1:12" x14ac:dyDescent="0.25">
      <c r="A79" s="1">
        <v>44750</v>
      </c>
      <c r="B79" t="s">
        <v>31</v>
      </c>
      <c r="C79" t="s">
        <v>19</v>
      </c>
      <c r="D79" t="s">
        <v>25</v>
      </c>
      <c r="E79" t="s">
        <v>30</v>
      </c>
      <c r="F79" t="s">
        <v>21</v>
      </c>
      <c r="G79" t="s">
        <v>43</v>
      </c>
      <c r="H79">
        <v>4</v>
      </c>
      <c r="I79">
        <v>204.62</v>
      </c>
      <c r="J79">
        <v>818.48</v>
      </c>
      <c r="K79" t="s">
        <v>36</v>
      </c>
      <c r="L79">
        <f>sneakers_streetwear_sales_data[[#This Row],[Amount ($)]]*0.2</f>
        <v>163.69600000000003</v>
      </c>
    </row>
    <row r="80" spans="1:12" x14ac:dyDescent="0.25">
      <c r="A80" s="1">
        <v>44746</v>
      </c>
      <c r="B80" t="s">
        <v>48</v>
      </c>
      <c r="C80" t="s">
        <v>49</v>
      </c>
      <c r="D80" t="s">
        <v>50</v>
      </c>
      <c r="E80" t="s">
        <v>14</v>
      </c>
      <c r="F80" t="s">
        <v>21</v>
      </c>
      <c r="G80" t="s">
        <v>39</v>
      </c>
      <c r="H80">
        <v>3</v>
      </c>
      <c r="I80">
        <v>271.19</v>
      </c>
      <c r="J80">
        <v>813.57</v>
      </c>
      <c r="K80" t="s">
        <v>23</v>
      </c>
      <c r="L80">
        <f>sneakers_streetwear_sales_data[[#This Row],[Amount ($)]]*0.2</f>
        <v>162.71400000000003</v>
      </c>
    </row>
    <row r="81" spans="1:12" x14ac:dyDescent="0.25">
      <c r="A81" s="1">
        <v>44664</v>
      </c>
      <c r="B81" t="s">
        <v>31</v>
      </c>
      <c r="C81" t="s">
        <v>19</v>
      </c>
      <c r="D81" t="s">
        <v>25</v>
      </c>
      <c r="E81" t="s">
        <v>30</v>
      </c>
      <c r="F81" t="s">
        <v>32</v>
      </c>
      <c r="G81" t="s">
        <v>39</v>
      </c>
      <c r="H81">
        <v>4</v>
      </c>
      <c r="I81">
        <v>203.25</v>
      </c>
      <c r="J81">
        <v>813</v>
      </c>
      <c r="K81" t="s">
        <v>36</v>
      </c>
      <c r="L81">
        <f>sneakers_streetwear_sales_data[[#This Row],[Amount ($)]]*0.2</f>
        <v>162.60000000000002</v>
      </c>
    </row>
    <row r="82" spans="1:12" x14ac:dyDescent="0.25">
      <c r="A82" s="1">
        <v>44794</v>
      </c>
      <c r="B82" t="s">
        <v>28</v>
      </c>
      <c r="C82" t="s">
        <v>29</v>
      </c>
      <c r="D82" t="s">
        <v>25</v>
      </c>
      <c r="E82" t="s">
        <v>14</v>
      </c>
      <c r="F82" t="s">
        <v>32</v>
      </c>
      <c r="G82" t="s">
        <v>34</v>
      </c>
      <c r="H82">
        <v>5</v>
      </c>
      <c r="I82">
        <v>162.38</v>
      </c>
      <c r="J82">
        <v>811.9</v>
      </c>
      <c r="K82" t="s">
        <v>17</v>
      </c>
      <c r="L82">
        <f>sneakers_streetwear_sales_data[[#This Row],[Amount ($)]]*0.2</f>
        <v>162.38</v>
      </c>
    </row>
    <row r="83" spans="1:12" x14ac:dyDescent="0.25">
      <c r="A83" s="1">
        <v>44799</v>
      </c>
      <c r="B83" t="s">
        <v>24</v>
      </c>
      <c r="C83" t="s">
        <v>19</v>
      </c>
      <c r="D83" t="s">
        <v>25</v>
      </c>
      <c r="E83" t="s">
        <v>30</v>
      </c>
      <c r="F83" t="s">
        <v>15</v>
      </c>
      <c r="G83" t="s">
        <v>16</v>
      </c>
      <c r="H83">
        <v>3</v>
      </c>
      <c r="I83">
        <v>270.52</v>
      </c>
      <c r="J83">
        <v>811.56</v>
      </c>
      <c r="K83" t="s">
        <v>35</v>
      </c>
      <c r="L83">
        <f>sneakers_streetwear_sales_data[[#This Row],[Amount ($)]]*0.2</f>
        <v>162.31200000000001</v>
      </c>
    </row>
    <row r="84" spans="1:12" x14ac:dyDescent="0.25">
      <c r="A84" s="1">
        <v>44702</v>
      </c>
      <c r="B84" t="s">
        <v>24</v>
      </c>
      <c r="C84" t="s">
        <v>19</v>
      </c>
      <c r="D84" t="s">
        <v>25</v>
      </c>
      <c r="E84" t="s">
        <v>26</v>
      </c>
      <c r="F84" t="s">
        <v>32</v>
      </c>
      <c r="G84" t="s">
        <v>27</v>
      </c>
      <c r="H84">
        <v>4</v>
      </c>
      <c r="I84">
        <v>202.28</v>
      </c>
      <c r="J84">
        <v>809.12</v>
      </c>
      <c r="K84" t="s">
        <v>17</v>
      </c>
      <c r="L84">
        <f>sneakers_streetwear_sales_data[[#This Row],[Amount ($)]]*0.2</f>
        <v>161.82400000000001</v>
      </c>
    </row>
    <row r="85" spans="1:12" x14ac:dyDescent="0.25">
      <c r="A85" s="1">
        <v>44735</v>
      </c>
      <c r="B85" t="s">
        <v>41</v>
      </c>
      <c r="C85" t="s">
        <v>29</v>
      </c>
      <c r="D85" t="s">
        <v>42</v>
      </c>
      <c r="E85" t="s">
        <v>14</v>
      </c>
      <c r="F85" t="s">
        <v>15</v>
      </c>
      <c r="G85" t="s">
        <v>16</v>
      </c>
      <c r="H85">
        <v>4</v>
      </c>
      <c r="I85">
        <v>199.68</v>
      </c>
      <c r="J85">
        <v>798.72</v>
      </c>
      <c r="K85" t="s">
        <v>36</v>
      </c>
      <c r="L85">
        <f>sneakers_streetwear_sales_data[[#This Row],[Amount ($)]]*0.2</f>
        <v>159.74400000000003</v>
      </c>
    </row>
    <row r="86" spans="1:12" x14ac:dyDescent="0.25">
      <c r="A86" s="1">
        <v>44599</v>
      </c>
      <c r="B86" t="s">
        <v>37</v>
      </c>
      <c r="C86" t="s">
        <v>29</v>
      </c>
      <c r="D86" t="s">
        <v>38</v>
      </c>
      <c r="E86" t="s">
        <v>14</v>
      </c>
      <c r="F86" t="s">
        <v>21</v>
      </c>
      <c r="G86" t="s">
        <v>22</v>
      </c>
      <c r="H86">
        <v>4</v>
      </c>
      <c r="I86">
        <v>198.45</v>
      </c>
      <c r="J86">
        <v>793.8</v>
      </c>
      <c r="K86" t="s">
        <v>36</v>
      </c>
      <c r="L86">
        <f>sneakers_streetwear_sales_data[[#This Row],[Amount ($)]]*0.2</f>
        <v>158.76</v>
      </c>
    </row>
    <row r="87" spans="1:12" x14ac:dyDescent="0.25">
      <c r="A87" s="1">
        <v>44623</v>
      </c>
      <c r="B87" t="s">
        <v>48</v>
      </c>
      <c r="C87" t="s">
        <v>49</v>
      </c>
      <c r="D87" t="s">
        <v>50</v>
      </c>
      <c r="E87" t="s">
        <v>14</v>
      </c>
      <c r="F87" t="s">
        <v>15</v>
      </c>
      <c r="G87" t="s">
        <v>16</v>
      </c>
      <c r="H87">
        <v>3</v>
      </c>
      <c r="I87">
        <v>264.14</v>
      </c>
      <c r="J87">
        <v>792.42</v>
      </c>
      <c r="K87" t="s">
        <v>17</v>
      </c>
      <c r="L87">
        <f>sneakers_streetwear_sales_data[[#This Row],[Amount ($)]]*0.2</f>
        <v>158.48400000000001</v>
      </c>
    </row>
    <row r="88" spans="1:12" x14ac:dyDescent="0.25">
      <c r="A88" s="1">
        <v>44707</v>
      </c>
      <c r="B88" t="s">
        <v>28</v>
      </c>
      <c r="C88" t="s">
        <v>29</v>
      </c>
      <c r="D88" t="s">
        <v>25</v>
      </c>
      <c r="E88" t="s">
        <v>30</v>
      </c>
      <c r="F88" t="s">
        <v>32</v>
      </c>
      <c r="G88" t="s">
        <v>33</v>
      </c>
      <c r="H88">
        <v>5</v>
      </c>
      <c r="I88">
        <v>157.19999999999999</v>
      </c>
      <c r="J88">
        <v>786</v>
      </c>
      <c r="K88" t="s">
        <v>36</v>
      </c>
      <c r="L88">
        <f>sneakers_streetwear_sales_data[[#This Row],[Amount ($)]]*0.2</f>
        <v>157.20000000000002</v>
      </c>
    </row>
    <row r="89" spans="1:12" x14ac:dyDescent="0.25">
      <c r="A89" s="1">
        <v>44768</v>
      </c>
      <c r="B89" t="s">
        <v>31</v>
      </c>
      <c r="C89" t="s">
        <v>19</v>
      </c>
      <c r="D89" t="s">
        <v>25</v>
      </c>
      <c r="E89" t="s">
        <v>30</v>
      </c>
      <c r="F89" t="s">
        <v>21</v>
      </c>
      <c r="G89" t="s">
        <v>27</v>
      </c>
      <c r="H89">
        <v>4</v>
      </c>
      <c r="I89">
        <v>196.45</v>
      </c>
      <c r="J89">
        <v>785.8</v>
      </c>
      <c r="K89" t="s">
        <v>35</v>
      </c>
      <c r="L89">
        <f>sneakers_streetwear_sales_data[[#This Row],[Amount ($)]]*0.2</f>
        <v>157.16</v>
      </c>
    </row>
    <row r="90" spans="1:12" x14ac:dyDescent="0.25">
      <c r="A90" s="1">
        <v>44728</v>
      </c>
      <c r="B90" t="s">
        <v>44</v>
      </c>
      <c r="C90" t="s">
        <v>19</v>
      </c>
      <c r="D90" t="s">
        <v>20</v>
      </c>
      <c r="E90" t="s">
        <v>14</v>
      </c>
      <c r="F90" t="s">
        <v>40</v>
      </c>
      <c r="G90" t="s">
        <v>33</v>
      </c>
      <c r="H90">
        <v>3</v>
      </c>
      <c r="I90">
        <v>261.31</v>
      </c>
      <c r="J90">
        <v>783.93</v>
      </c>
      <c r="K90" t="s">
        <v>17</v>
      </c>
      <c r="L90">
        <f>sneakers_streetwear_sales_data[[#This Row],[Amount ($)]]*0.2</f>
        <v>156.786</v>
      </c>
    </row>
    <row r="91" spans="1:12" x14ac:dyDescent="0.25">
      <c r="A91" s="1">
        <v>44686</v>
      </c>
      <c r="B91" t="s">
        <v>28</v>
      </c>
      <c r="C91" t="s">
        <v>29</v>
      </c>
      <c r="D91" t="s">
        <v>25</v>
      </c>
      <c r="E91" t="s">
        <v>14</v>
      </c>
      <c r="F91" t="s">
        <v>40</v>
      </c>
      <c r="G91" t="s">
        <v>16</v>
      </c>
      <c r="H91">
        <v>3</v>
      </c>
      <c r="I91">
        <v>257.92</v>
      </c>
      <c r="J91">
        <v>773.76</v>
      </c>
      <c r="K91" t="s">
        <v>36</v>
      </c>
      <c r="L91">
        <f>sneakers_streetwear_sales_data[[#This Row],[Amount ($)]]*0.2</f>
        <v>154.75200000000001</v>
      </c>
    </row>
    <row r="92" spans="1:12" x14ac:dyDescent="0.25">
      <c r="A92" s="1">
        <v>44753</v>
      </c>
      <c r="B92" t="s">
        <v>28</v>
      </c>
      <c r="C92" t="s">
        <v>29</v>
      </c>
      <c r="D92" t="s">
        <v>25</v>
      </c>
      <c r="E92" t="s">
        <v>30</v>
      </c>
      <c r="F92" t="s">
        <v>21</v>
      </c>
      <c r="G92" t="s">
        <v>34</v>
      </c>
      <c r="H92">
        <v>3</v>
      </c>
      <c r="I92">
        <v>256.72000000000003</v>
      </c>
      <c r="J92">
        <v>770.16</v>
      </c>
      <c r="K92" t="s">
        <v>35</v>
      </c>
      <c r="L92">
        <f>sneakers_streetwear_sales_data[[#This Row],[Amount ($)]]*0.2</f>
        <v>154.03200000000001</v>
      </c>
    </row>
    <row r="93" spans="1:12" x14ac:dyDescent="0.25">
      <c r="A93" s="1">
        <v>44653</v>
      </c>
      <c r="B93" t="s">
        <v>48</v>
      </c>
      <c r="C93" t="s">
        <v>49</v>
      </c>
      <c r="D93" t="s">
        <v>50</v>
      </c>
      <c r="E93" t="s">
        <v>30</v>
      </c>
      <c r="F93" t="s">
        <v>21</v>
      </c>
      <c r="G93" t="s">
        <v>39</v>
      </c>
      <c r="H93">
        <v>3</v>
      </c>
      <c r="I93">
        <v>256.27</v>
      </c>
      <c r="J93">
        <v>768.81</v>
      </c>
      <c r="K93" t="s">
        <v>23</v>
      </c>
      <c r="L93">
        <f>sneakers_streetwear_sales_data[[#This Row],[Amount ($)]]*0.2</f>
        <v>153.762</v>
      </c>
    </row>
    <row r="94" spans="1:12" x14ac:dyDescent="0.25">
      <c r="A94" s="1">
        <v>44759</v>
      </c>
      <c r="B94" t="s">
        <v>37</v>
      </c>
      <c r="C94" t="s">
        <v>29</v>
      </c>
      <c r="D94" t="s">
        <v>38</v>
      </c>
      <c r="E94" t="s">
        <v>30</v>
      </c>
      <c r="F94" t="s">
        <v>15</v>
      </c>
      <c r="G94" t="s">
        <v>27</v>
      </c>
      <c r="H94">
        <v>4</v>
      </c>
      <c r="I94">
        <v>191.11</v>
      </c>
      <c r="J94">
        <v>764.44</v>
      </c>
      <c r="K94" t="s">
        <v>36</v>
      </c>
      <c r="L94">
        <f>sneakers_streetwear_sales_data[[#This Row],[Amount ($)]]*0.2</f>
        <v>152.88800000000001</v>
      </c>
    </row>
    <row r="95" spans="1:12" x14ac:dyDescent="0.25">
      <c r="A95" s="1">
        <v>44577</v>
      </c>
      <c r="B95" t="s">
        <v>24</v>
      </c>
      <c r="C95" t="s">
        <v>19</v>
      </c>
      <c r="D95" t="s">
        <v>25</v>
      </c>
      <c r="E95" t="s">
        <v>14</v>
      </c>
      <c r="F95" t="s">
        <v>15</v>
      </c>
      <c r="G95" t="s">
        <v>16</v>
      </c>
      <c r="H95">
        <v>5</v>
      </c>
      <c r="I95">
        <v>150.02000000000001</v>
      </c>
      <c r="J95">
        <v>750.1</v>
      </c>
      <c r="K95" t="s">
        <v>23</v>
      </c>
      <c r="L95">
        <f>sneakers_streetwear_sales_data[[#This Row],[Amount ($)]]*0.2</f>
        <v>150.02000000000001</v>
      </c>
    </row>
    <row r="96" spans="1:12" x14ac:dyDescent="0.25">
      <c r="A96" s="1">
        <v>44593</v>
      </c>
      <c r="B96" t="s">
        <v>18</v>
      </c>
      <c r="C96" t="s">
        <v>19</v>
      </c>
      <c r="D96" t="s">
        <v>20</v>
      </c>
      <c r="E96" t="s">
        <v>30</v>
      </c>
      <c r="F96" t="s">
        <v>40</v>
      </c>
      <c r="G96" t="s">
        <v>34</v>
      </c>
      <c r="H96">
        <v>4</v>
      </c>
      <c r="I96">
        <v>185.7</v>
      </c>
      <c r="J96">
        <v>742.8</v>
      </c>
      <c r="K96" t="s">
        <v>36</v>
      </c>
      <c r="L96">
        <f>sneakers_streetwear_sales_data[[#This Row],[Amount ($)]]*0.2</f>
        <v>148.56</v>
      </c>
    </row>
    <row r="97" spans="1:12" x14ac:dyDescent="0.25">
      <c r="A97" s="1">
        <v>44582</v>
      </c>
      <c r="B97" t="s">
        <v>11</v>
      </c>
      <c r="C97" t="s">
        <v>12</v>
      </c>
      <c r="D97" t="s">
        <v>13</v>
      </c>
      <c r="E97" t="s">
        <v>30</v>
      </c>
      <c r="F97" t="s">
        <v>40</v>
      </c>
      <c r="G97" t="s">
        <v>16</v>
      </c>
      <c r="H97">
        <v>5</v>
      </c>
      <c r="I97">
        <v>148.46</v>
      </c>
      <c r="J97">
        <v>742.3</v>
      </c>
      <c r="K97" t="s">
        <v>17</v>
      </c>
      <c r="L97">
        <f>sneakers_streetwear_sales_data[[#This Row],[Amount ($)]]*0.2</f>
        <v>148.46</v>
      </c>
    </row>
    <row r="98" spans="1:12" x14ac:dyDescent="0.25">
      <c r="A98" s="1">
        <v>44740</v>
      </c>
      <c r="B98" t="s">
        <v>45</v>
      </c>
      <c r="C98" t="s">
        <v>46</v>
      </c>
      <c r="D98" t="s">
        <v>47</v>
      </c>
      <c r="E98" t="s">
        <v>26</v>
      </c>
      <c r="F98" t="s">
        <v>32</v>
      </c>
      <c r="G98" t="s">
        <v>39</v>
      </c>
      <c r="H98">
        <v>4</v>
      </c>
      <c r="I98">
        <v>185.54</v>
      </c>
      <c r="J98">
        <v>742.16</v>
      </c>
      <c r="K98" t="s">
        <v>35</v>
      </c>
      <c r="L98">
        <f>sneakers_streetwear_sales_data[[#This Row],[Amount ($)]]*0.2</f>
        <v>148.43199999999999</v>
      </c>
    </row>
    <row r="99" spans="1:12" x14ac:dyDescent="0.25">
      <c r="A99" s="1">
        <v>44792</v>
      </c>
      <c r="B99" t="s">
        <v>28</v>
      </c>
      <c r="C99" t="s">
        <v>29</v>
      </c>
      <c r="D99" t="s">
        <v>25</v>
      </c>
      <c r="E99" t="s">
        <v>26</v>
      </c>
      <c r="F99" t="s">
        <v>32</v>
      </c>
      <c r="G99" t="s">
        <v>33</v>
      </c>
      <c r="H99">
        <v>5</v>
      </c>
      <c r="I99">
        <v>147.99</v>
      </c>
      <c r="J99">
        <v>739.95</v>
      </c>
      <c r="K99" t="s">
        <v>35</v>
      </c>
      <c r="L99">
        <f>sneakers_streetwear_sales_data[[#This Row],[Amount ($)]]*0.2</f>
        <v>147.99</v>
      </c>
    </row>
    <row r="100" spans="1:12" x14ac:dyDescent="0.25">
      <c r="A100" s="1">
        <v>44760</v>
      </c>
      <c r="B100" t="s">
        <v>37</v>
      </c>
      <c r="C100" t="s">
        <v>29</v>
      </c>
      <c r="D100" t="s">
        <v>38</v>
      </c>
      <c r="E100" t="s">
        <v>30</v>
      </c>
      <c r="F100" t="s">
        <v>40</v>
      </c>
      <c r="G100" t="s">
        <v>33</v>
      </c>
      <c r="H100">
        <v>3</v>
      </c>
      <c r="I100">
        <v>246.13</v>
      </c>
      <c r="J100">
        <v>738.39</v>
      </c>
      <c r="K100" t="s">
        <v>35</v>
      </c>
      <c r="L100">
        <f>sneakers_streetwear_sales_data[[#This Row],[Amount ($)]]*0.2</f>
        <v>147.678</v>
      </c>
    </row>
    <row r="101" spans="1:12" x14ac:dyDescent="0.25">
      <c r="A101" s="1">
        <v>44600</v>
      </c>
      <c r="B101" t="s">
        <v>45</v>
      </c>
      <c r="C101" t="s">
        <v>46</v>
      </c>
      <c r="D101" t="s">
        <v>47</v>
      </c>
      <c r="E101" t="s">
        <v>26</v>
      </c>
      <c r="F101" t="s">
        <v>32</v>
      </c>
      <c r="G101" t="s">
        <v>34</v>
      </c>
      <c r="H101">
        <v>5</v>
      </c>
      <c r="I101">
        <v>147.13</v>
      </c>
      <c r="J101">
        <v>735.65</v>
      </c>
      <c r="K101" t="s">
        <v>36</v>
      </c>
      <c r="L101">
        <f>sneakers_streetwear_sales_data[[#This Row],[Amount ($)]]*0.2</f>
        <v>147.13</v>
      </c>
    </row>
    <row r="102" spans="1:12" x14ac:dyDescent="0.25">
      <c r="A102" s="1">
        <v>44783</v>
      </c>
      <c r="B102" t="s">
        <v>24</v>
      </c>
      <c r="C102" t="s">
        <v>19</v>
      </c>
      <c r="D102" t="s">
        <v>25</v>
      </c>
      <c r="E102" t="s">
        <v>26</v>
      </c>
      <c r="F102" t="s">
        <v>15</v>
      </c>
      <c r="G102" t="s">
        <v>34</v>
      </c>
      <c r="H102">
        <v>4</v>
      </c>
      <c r="I102">
        <v>183.4</v>
      </c>
      <c r="J102">
        <v>733.6</v>
      </c>
      <c r="K102" t="s">
        <v>17</v>
      </c>
      <c r="L102">
        <f>sneakers_streetwear_sales_data[[#This Row],[Amount ($)]]*0.2</f>
        <v>146.72</v>
      </c>
    </row>
    <row r="103" spans="1:12" x14ac:dyDescent="0.25">
      <c r="A103" s="1">
        <v>44803</v>
      </c>
      <c r="B103" t="s">
        <v>41</v>
      </c>
      <c r="C103" t="s">
        <v>29</v>
      </c>
      <c r="D103" t="s">
        <v>42</v>
      </c>
      <c r="E103" t="s">
        <v>30</v>
      </c>
      <c r="F103" t="s">
        <v>32</v>
      </c>
      <c r="G103" t="s">
        <v>22</v>
      </c>
      <c r="H103">
        <v>3</v>
      </c>
      <c r="I103">
        <v>242.71</v>
      </c>
      <c r="J103">
        <v>728.13</v>
      </c>
      <c r="K103" t="s">
        <v>23</v>
      </c>
      <c r="L103">
        <f>sneakers_streetwear_sales_data[[#This Row],[Amount ($)]]*0.2</f>
        <v>145.626</v>
      </c>
    </row>
    <row r="104" spans="1:12" x14ac:dyDescent="0.25">
      <c r="A104" s="1">
        <v>44659</v>
      </c>
      <c r="B104" t="s">
        <v>11</v>
      </c>
      <c r="C104" t="s">
        <v>12</v>
      </c>
      <c r="D104" t="s">
        <v>13</v>
      </c>
      <c r="E104" t="s">
        <v>26</v>
      </c>
      <c r="F104" t="s">
        <v>40</v>
      </c>
      <c r="G104" t="s">
        <v>16</v>
      </c>
      <c r="H104">
        <v>5</v>
      </c>
      <c r="I104">
        <v>145.47</v>
      </c>
      <c r="J104">
        <v>727.35</v>
      </c>
      <c r="K104" t="s">
        <v>17</v>
      </c>
      <c r="L104">
        <f>sneakers_streetwear_sales_data[[#This Row],[Amount ($)]]*0.2</f>
        <v>145.47</v>
      </c>
    </row>
    <row r="105" spans="1:12" x14ac:dyDescent="0.25">
      <c r="A105" s="1">
        <v>44765</v>
      </c>
      <c r="B105" t="s">
        <v>41</v>
      </c>
      <c r="C105" t="s">
        <v>29</v>
      </c>
      <c r="D105" t="s">
        <v>42</v>
      </c>
      <c r="E105" t="s">
        <v>26</v>
      </c>
      <c r="F105" t="s">
        <v>32</v>
      </c>
      <c r="G105" t="s">
        <v>39</v>
      </c>
      <c r="H105">
        <v>3</v>
      </c>
      <c r="I105">
        <v>239.76</v>
      </c>
      <c r="J105">
        <v>719.28</v>
      </c>
      <c r="K105" t="s">
        <v>17</v>
      </c>
      <c r="L105">
        <f>sneakers_streetwear_sales_data[[#This Row],[Amount ($)]]*0.2</f>
        <v>143.85599999999999</v>
      </c>
    </row>
    <row r="106" spans="1:12" x14ac:dyDescent="0.25">
      <c r="A106" s="1">
        <v>44750</v>
      </c>
      <c r="B106" t="s">
        <v>18</v>
      </c>
      <c r="C106" t="s">
        <v>19</v>
      </c>
      <c r="D106" t="s">
        <v>20</v>
      </c>
      <c r="E106" t="s">
        <v>30</v>
      </c>
      <c r="F106" t="s">
        <v>40</v>
      </c>
      <c r="G106" t="s">
        <v>27</v>
      </c>
      <c r="H106">
        <v>3</v>
      </c>
      <c r="I106">
        <v>239.55</v>
      </c>
      <c r="J106">
        <v>718.65</v>
      </c>
      <c r="K106" t="s">
        <v>17</v>
      </c>
      <c r="L106">
        <f>sneakers_streetwear_sales_data[[#This Row],[Amount ($)]]*0.2</f>
        <v>143.72999999999999</v>
      </c>
    </row>
    <row r="107" spans="1:12" x14ac:dyDescent="0.25">
      <c r="A107" s="1">
        <v>44708</v>
      </c>
      <c r="B107" t="s">
        <v>11</v>
      </c>
      <c r="C107" t="s">
        <v>12</v>
      </c>
      <c r="D107" t="s">
        <v>13</v>
      </c>
      <c r="E107" t="s">
        <v>14</v>
      </c>
      <c r="F107" t="s">
        <v>15</v>
      </c>
      <c r="G107" t="s">
        <v>16</v>
      </c>
      <c r="H107">
        <v>5</v>
      </c>
      <c r="I107">
        <v>141.82</v>
      </c>
      <c r="J107">
        <v>709.1</v>
      </c>
      <c r="K107" t="s">
        <v>17</v>
      </c>
      <c r="L107">
        <f>sneakers_streetwear_sales_data[[#This Row],[Amount ($)]]*0.2</f>
        <v>141.82000000000002</v>
      </c>
    </row>
    <row r="108" spans="1:12" x14ac:dyDescent="0.25">
      <c r="A108" s="1">
        <v>44597</v>
      </c>
      <c r="B108" t="s">
        <v>37</v>
      </c>
      <c r="C108" t="s">
        <v>29</v>
      </c>
      <c r="D108" t="s">
        <v>38</v>
      </c>
      <c r="E108" t="s">
        <v>30</v>
      </c>
      <c r="F108" t="s">
        <v>40</v>
      </c>
      <c r="G108" t="s">
        <v>43</v>
      </c>
      <c r="H108">
        <v>3</v>
      </c>
      <c r="I108">
        <v>236.05</v>
      </c>
      <c r="J108">
        <v>708.15</v>
      </c>
      <c r="K108" t="s">
        <v>35</v>
      </c>
      <c r="L108">
        <f>sneakers_streetwear_sales_data[[#This Row],[Amount ($)]]*0.2</f>
        <v>141.63</v>
      </c>
    </row>
    <row r="109" spans="1:12" x14ac:dyDescent="0.25">
      <c r="A109" s="1">
        <v>44621</v>
      </c>
      <c r="B109" t="s">
        <v>31</v>
      </c>
      <c r="C109" t="s">
        <v>19</v>
      </c>
      <c r="D109" t="s">
        <v>25</v>
      </c>
      <c r="E109" t="s">
        <v>26</v>
      </c>
      <c r="F109" t="s">
        <v>40</v>
      </c>
      <c r="G109" t="s">
        <v>39</v>
      </c>
      <c r="H109">
        <v>3</v>
      </c>
      <c r="I109">
        <v>235.36</v>
      </c>
      <c r="J109">
        <v>706.08</v>
      </c>
      <c r="K109" t="s">
        <v>36</v>
      </c>
      <c r="L109">
        <f>sneakers_streetwear_sales_data[[#This Row],[Amount ($)]]*0.2</f>
        <v>141.21600000000001</v>
      </c>
    </row>
    <row r="110" spans="1:12" x14ac:dyDescent="0.25">
      <c r="A110" s="1">
        <v>44595</v>
      </c>
      <c r="B110" t="s">
        <v>48</v>
      </c>
      <c r="C110" t="s">
        <v>49</v>
      </c>
      <c r="D110" t="s">
        <v>50</v>
      </c>
      <c r="E110" t="s">
        <v>26</v>
      </c>
      <c r="F110" t="s">
        <v>21</v>
      </c>
      <c r="G110" t="s">
        <v>16</v>
      </c>
      <c r="H110">
        <v>5</v>
      </c>
      <c r="I110">
        <v>140.65</v>
      </c>
      <c r="J110">
        <v>703.25</v>
      </c>
      <c r="K110" t="s">
        <v>36</v>
      </c>
      <c r="L110">
        <f>sneakers_streetwear_sales_data[[#This Row],[Amount ($)]]*0.2</f>
        <v>140.65</v>
      </c>
    </row>
    <row r="111" spans="1:12" x14ac:dyDescent="0.25">
      <c r="A111" s="1">
        <v>44622</v>
      </c>
      <c r="B111" t="s">
        <v>48</v>
      </c>
      <c r="C111" t="s">
        <v>49</v>
      </c>
      <c r="D111" t="s">
        <v>50</v>
      </c>
      <c r="E111" t="s">
        <v>30</v>
      </c>
      <c r="F111" t="s">
        <v>40</v>
      </c>
      <c r="G111" t="s">
        <v>34</v>
      </c>
      <c r="H111">
        <v>5</v>
      </c>
      <c r="I111">
        <v>140.26</v>
      </c>
      <c r="J111">
        <v>701.3</v>
      </c>
      <c r="K111" t="s">
        <v>17</v>
      </c>
      <c r="L111">
        <f>sneakers_streetwear_sales_data[[#This Row],[Amount ($)]]*0.2</f>
        <v>140.26</v>
      </c>
    </row>
    <row r="112" spans="1:12" x14ac:dyDescent="0.25">
      <c r="A112" s="1">
        <v>44786</v>
      </c>
      <c r="B112" t="s">
        <v>41</v>
      </c>
      <c r="C112" t="s">
        <v>29</v>
      </c>
      <c r="D112" t="s">
        <v>42</v>
      </c>
      <c r="E112" t="s">
        <v>14</v>
      </c>
      <c r="F112" t="s">
        <v>40</v>
      </c>
      <c r="G112" t="s">
        <v>43</v>
      </c>
      <c r="H112">
        <v>5</v>
      </c>
      <c r="I112">
        <v>139</v>
      </c>
      <c r="J112">
        <v>695</v>
      </c>
      <c r="K112" t="s">
        <v>35</v>
      </c>
      <c r="L112">
        <f>sneakers_streetwear_sales_data[[#This Row],[Amount ($)]]*0.2</f>
        <v>139</v>
      </c>
    </row>
    <row r="113" spans="1:12" x14ac:dyDescent="0.25">
      <c r="A113" s="1">
        <v>44683</v>
      </c>
      <c r="B113" t="s">
        <v>44</v>
      </c>
      <c r="C113" t="s">
        <v>19</v>
      </c>
      <c r="D113" t="s">
        <v>20</v>
      </c>
      <c r="E113" t="s">
        <v>30</v>
      </c>
      <c r="F113" t="s">
        <v>21</v>
      </c>
      <c r="G113" t="s">
        <v>39</v>
      </c>
      <c r="H113">
        <v>5</v>
      </c>
      <c r="I113">
        <v>138.94999999999999</v>
      </c>
      <c r="J113">
        <v>694.75</v>
      </c>
      <c r="K113" t="s">
        <v>35</v>
      </c>
      <c r="L113">
        <f>sneakers_streetwear_sales_data[[#This Row],[Amount ($)]]*0.2</f>
        <v>138.95000000000002</v>
      </c>
    </row>
    <row r="114" spans="1:12" x14ac:dyDescent="0.25">
      <c r="A114" s="1">
        <v>44644</v>
      </c>
      <c r="B114" t="s">
        <v>31</v>
      </c>
      <c r="C114" t="s">
        <v>19</v>
      </c>
      <c r="D114" t="s">
        <v>25</v>
      </c>
      <c r="E114" t="s">
        <v>30</v>
      </c>
      <c r="F114" t="s">
        <v>15</v>
      </c>
      <c r="G114" t="s">
        <v>16</v>
      </c>
      <c r="H114">
        <v>4</v>
      </c>
      <c r="I114">
        <v>172.68</v>
      </c>
      <c r="J114">
        <v>690.72</v>
      </c>
      <c r="K114" t="s">
        <v>35</v>
      </c>
      <c r="L114">
        <f>sneakers_streetwear_sales_data[[#This Row],[Amount ($)]]*0.2</f>
        <v>138.14400000000001</v>
      </c>
    </row>
    <row r="115" spans="1:12" x14ac:dyDescent="0.25">
      <c r="A115" s="1">
        <v>44745</v>
      </c>
      <c r="B115" t="s">
        <v>37</v>
      </c>
      <c r="C115" t="s">
        <v>29</v>
      </c>
      <c r="D115" t="s">
        <v>38</v>
      </c>
      <c r="E115" t="s">
        <v>26</v>
      </c>
      <c r="F115" t="s">
        <v>15</v>
      </c>
      <c r="G115" t="s">
        <v>43</v>
      </c>
      <c r="H115">
        <v>4</v>
      </c>
      <c r="I115">
        <v>172.52</v>
      </c>
      <c r="J115">
        <v>690.08</v>
      </c>
      <c r="K115" t="s">
        <v>35</v>
      </c>
      <c r="L115">
        <f>sneakers_streetwear_sales_data[[#This Row],[Amount ($)]]*0.2</f>
        <v>138.01600000000002</v>
      </c>
    </row>
    <row r="116" spans="1:12" x14ac:dyDescent="0.25">
      <c r="A116" s="1">
        <v>44758</v>
      </c>
      <c r="B116" t="s">
        <v>11</v>
      </c>
      <c r="C116" t="s">
        <v>12</v>
      </c>
      <c r="D116" t="s">
        <v>13</v>
      </c>
      <c r="E116" t="s">
        <v>14</v>
      </c>
      <c r="F116" t="s">
        <v>15</v>
      </c>
      <c r="G116" t="s">
        <v>34</v>
      </c>
      <c r="H116">
        <v>5</v>
      </c>
      <c r="I116">
        <v>137.9</v>
      </c>
      <c r="J116">
        <v>689.5</v>
      </c>
      <c r="K116" t="s">
        <v>35</v>
      </c>
      <c r="L116">
        <f>sneakers_streetwear_sales_data[[#This Row],[Amount ($)]]*0.2</f>
        <v>137.9</v>
      </c>
    </row>
    <row r="117" spans="1:12" x14ac:dyDescent="0.25">
      <c r="A117" s="1">
        <v>44617</v>
      </c>
      <c r="B117" t="s">
        <v>45</v>
      </c>
      <c r="C117" t="s">
        <v>46</v>
      </c>
      <c r="D117" t="s">
        <v>47</v>
      </c>
      <c r="E117" t="s">
        <v>30</v>
      </c>
      <c r="F117" t="s">
        <v>32</v>
      </c>
      <c r="G117" t="s">
        <v>27</v>
      </c>
      <c r="H117">
        <v>3</v>
      </c>
      <c r="I117">
        <v>228.84</v>
      </c>
      <c r="J117">
        <v>686.52</v>
      </c>
      <c r="K117" t="s">
        <v>35</v>
      </c>
      <c r="L117">
        <f>sneakers_streetwear_sales_data[[#This Row],[Amount ($)]]*0.2</f>
        <v>137.304</v>
      </c>
    </row>
    <row r="118" spans="1:12" x14ac:dyDescent="0.25">
      <c r="A118" s="1">
        <v>44685</v>
      </c>
      <c r="B118" t="s">
        <v>31</v>
      </c>
      <c r="C118" t="s">
        <v>19</v>
      </c>
      <c r="D118" t="s">
        <v>25</v>
      </c>
      <c r="E118" t="s">
        <v>14</v>
      </c>
      <c r="F118" t="s">
        <v>32</v>
      </c>
      <c r="G118" t="s">
        <v>16</v>
      </c>
      <c r="H118">
        <v>4</v>
      </c>
      <c r="I118">
        <v>171.49</v>
      </c>
      <c r="J118">
        <v>685.96</v>
      </c>
      <c r="K118" t="s">
        <v>23</v>
      </c>
      <c r="L118">
        <f>sneakers_streetwear_sales_data[[#This Row],[Amount ($)]]*0.2</f>
        <v>137.19200000000001</v>
      </c>
    </row>
    <row r="119" spans="1:12" x14ac:dyDescent="0.25">
      <c r="A119" s="1">
        <v>44578</v>
      </c>
      <c r="B119" t="s">
        <v>44</v>
      </c>
      <c r="C119" t="s">
        <v>19</v>
      </c>
      <c r="D119" t="s">
        <v>20</v>
      </c>
      <c r="E119" t="s">
        <v>26</v>
      </c>
      <c r="F119" t="s">
        <v>32</v>
      </c>
      <c r="G119" t="s">
        <v>33</v>
      </c>
      <c r="H119">
        <v>3</v>
      </c>
      <c r="I119">
        <v>225.9</v>
      </c>
      <c r="J119">
        <v>677.7</v>
      </c>
      <c r="K119" t="s">
        <v>36</v>
      </c>
      <c r="L119">
        <f>sneakers_streetwear_sales_data[[#This Row],[Amount ($)]]*0.2</f>
        <v>135.54000000000002</v>
      </c>
    </row>
    <row r="120" spans="1:12" x14ac:dyDescent="0.25">
      <c r="A120" s="1">
        <v>44602</v>
      </c>
      <c r="B120" t="s">
        <v>18</v>
      </c>
      <c r="C120" t="s">
        <v>19</v>
      </c>
      <c r="D120" t="s">
        <v>20</v>
      </c>
      <c r="E120" t="s">
        <v>26</v>
      </c>
      <c r="F120" t="s">
        <v>32</v>
      </c>
      <c r="G120" t="s">
        <v>39</v>
      </c>
      <c r="H120">
        <v>3</v>
      </c>
      <c r="I120">
        <v>225.84</v>
      </c>
      <c r="J120">
        <v>677.52</v>
      </c>
      <c r="K120" t="s">
        <v>17</v>
      </c>
      <c r="L120">
        <f>sneakers_streetwear_sales_data[[#This Row],[Amount ($)]]*0.2</f>
        <v>135.50399999999999</v>
      </c>
    </row>
    <row r="121" spans="1:12" x14ac:dyDescent="0.25">
      <c r="A121" s="1">
        <v>44708</v>
      </c>
      <c r="B121" t="s">
        <v>44</v>
      </c>
      <c r="C121" t="s">
        <v>19</v>
      </c>
      <c r="D121" t="s">
        <v>20</v>
      </c>
      <c r="E121" t="s">
        <v>26</v>
      </c>
      <c r="F121" t="s">
        <v>40</v>
      </c>
      <c r="G121" t="s">
        <v>34</v>
      </c>
      <c r="H121">
        <v>5</v>
      </c>
      <c r="I121">
        <v>135.5</v>
      </c>
      <c r="J121">
        <v>677.5</v>
      </c>
      <c r="K121" t="s">
        <v>35</v>
      </c>
      <c r="L121">
        <f>sneakers_streetwear_sales_data[[#This Row],[Amount ($)]]*0.2</f>
        <v>135.5</v>
      </c>
    </row>
    <row r="122" spans="1:12" x14ac:dyDescent="0.25">
      <c r="A122" s="1">
        <v>44629</v>
      </c>
      <c r="B122" t="s">
        <v>28</v>
      </c>
      <c r="C122" t="s">
        <v>29</v>
      </c>
      <c r="D122" t="s">
        <v>25</v>
      </c>
      <c r="E122" t="s">
        <v>14</v>
      </c>
      <c r="F122" t="s">
        <v>21</v>
      </c>
      <c r="G122" t="s">
        <v>39</v>
      </c>
      <c r="H122">
        <v>3</v>
      </c>
      <c r="I122">
        <v>224.66</v>
      </c>
      <c r="J122">
        <v>673.98</v>
      </c>
      <c r="K122" t="s">
        <v>23</v>
      </c>
      <c r="L122">
        <f>sneakers_streetwear_sales_data[[#This Row],[Amount ($)]]*0.2</f>
        <v>134.79600000000002</v>
      </c>
    </row>
    <row r="123" spans="1:12" x14ac:dyDescent="0.25">
      <c r="A123" s="1">
        <v>44680</v>
      </c>
      <c r="B123" t="s">
        <v>24</v>
      </c>
      <c r="C123" t="s">
        <v>19</v>
      </c>
      <c r="D123" t="s">
        <v>25</v>
      </c>
      <c r="E123" t="s">
        <v>30</v>
      </c>
      <c r="F123" t="s">
        <v>21</v>
      </c>
      <c r="G123" t="s">
        <v>27</v>
      </c>
      <c r="H123">
        <v>4</v>
      </c>
      <c r="I123">
        <v>168.01</v>
      </c>
      <c r="J123">
        <v>672.04</v>
      </c>
      <c r="K123" t="s">
        <v>36</v>
      </c>
      <c r="L123">
        <f>sneakers_streetwear_sales_data[[#This Row],[Amount ($)]]*0.2</f>
        <v>134.40799999999999</v>
      </c>
    </row>
    <row r="124" spans="1:12" x14ac:dyDescent="0.25">
      <c r="A124" s="1">
        <v>44729</v>
      </c>
      <c r="B124" t="s">
        <v>11</v>
      </c>
      <c r="C124" t="s">
        <v>12</v>
      </c>
      <c r="D124" t="s">
        <v>13</v>
      </c>
      <c r="E124" t="s">
        <v>26</v>
      </c>
      <c r="F124" t="s">
        <v>40</v>
      </c>
      <c r="G124" t="s">
        <v>34</v>
      </c>
      <c r="H124">
        <v>5</v>
      </c>
      <c r="I124">
        <v>133.74</v>
      </c>
      <c r="J124">
        <v>668.7</v>
      </c>
      <c r="K124" t="s">
        <v>17</v>
      </c>
      <c r="L124">
        <f>sneakers_streetwear_sales_data[[#This Row],[Amount ($)]]*0.2</f>
        <v>133.74</v>
      </c>
    </row>
    <row r="125" spans="1:12" x14ac:dyDescent="0.25">
      <c r="A125" s="1">
        <v>44754</v>
      </c>
      <c r="B125" t="s">
        <v>37</v>
      </c>
      <c r="C125" t="s">
        <v>29</v>
      </c>
      <c r="D125" t="s">
        <v>38</v>
      </c>
      <c r="E125" t="s">
        <v>30</v>
      </c>
      <c r="F125" t="s">
        <v>40</v>
      </c>
      <c r="G125" t="s">
        <v>34</v>
      </c>
      <c r="H125">
        <v>3</v>
      </c>
      <c r="I125">
        <v>218.91</v>
      </c>
      <c r="J125">
        <v>656.73</v>
      </c>
      <c r="K125" t="s">
        <v>36</v>
      </c>
      <c r="L125">
        <f>sneakers_streetwear_sales_data[[#This Row],[Amount ($)]]*0.2</f>
        <v>131.346</v>
      </c>
    </row>
    <row r="126" spans="1:12" x14ac:dyDescent="0.25">
      <c r="A126" s="1">
        <v>44802</v>
      </c>
      <c r="B126" t="s">
        <v>18</v>
      </c>
      <c r="C126" t="s">
        <v>19</v>
      </c>
      <c r="D126" t="s">
        <v>20</v>
      </c>
      <c r="E126" t="s">
        <v>14</v>
      </c>
      <c r="F126" t="s">
        <v>21</v>
      </c>
      <c r="G126" t="s">
        <v>22</v>
      </c>
      <c r="H126">
        <v>4</v>
      </c>
      <c r="I126">
        <v>162.85</v>
      </c>
      <c r="J126">
        <v>651.4</v>
      </c>
      <c r="K126" t="s">
        <v>35</v>
      </c>
      <c r="L126">
        <f>sneakers_streetwear_sales_data[[#This Row],[Amount ($)]]*0.2</f>
        <v>130.28</v>
      </c>
    </row>
    <row r="127" spans="1:12" x14ac:dyDescent="0.25">
      <c r="A127" s="1">
        <v>44639</v>
      </c>
      <c r="B127" t="s">
        <v>37</v>
      </c>
      <c r="C127" t="s">
        <v>29</v>
      </c>
      <c r="D127" t="s">
        <v>38</v>
      </c>
      <c r="E127" t="s">
        <v>14</v>
      </c>
      <c r="F127" t="s">
        <v>21</v>
      </c>
      <c r="G127" t="s">
        <v>39</v>
      </c>
      <c r="H127">
        <v>3</v>
      </c>
      <c r="I127">
        <v>214.68</v>
      </c>
      <c r="J127">
        <v>644.04</v>
      </c>
      <c r="K127" t="s">
        <v>35</v>
      </c>
      <c r="L127">
        <f>sneakers_streetwear_sales_data[[#This Row],[Amount ($)]]*0.2</f>
        <v>128.80799999999999</v>
      </c>
    </row>
    <row r="128" spans="1:12" x14ac:dyDescent="0.25">
      <c r="A128" s="1">
        <v>44578</v>
      </c>
      <c r="B128" t="s">
        <v>24</v>
      </c>
      <c r="C128" t="s">
        <v>19</v>
      </c>
      <c r="D128" t="s">
        <v>25</v>
      </c>
      <c r="E128" t="s">
        <v>30</v>
      </c>
      <c r="F128" t="s">
        <v>15</v>
      </c>
      <c r="G128" t="s">
        <v>22</v>
      </c>
      <c r="H128">
        <v>3</v>
      </c>
      <c r="I128">
        <v>213.66</v>
      </c>
      <c r="J128">
        <v>640.98</v>
      </c>
      <c r="K128" t="s">
        <v>17</v>
      </c>
      <c r="L128">
        <f>sneakers_streetwear_sales_data[[#This Row],[Amount ($)]]*0.2</f>
        <v>128.196</v>
      </c>
    </row>
    <row r="129" spans="1:12" x14ac:dyDescent="0.25">
      <c r="A129" s="1">
        <v>44719</v>
      </c>
      <c r="B129" t="s">
        <v>18</v>
      </c>
      <c r="C129" t="s">
        <v>19</v>
      </c>
      <c r="D129" t="s">
        <v>20</v>
      </c>
      <c r="E129" t="s">
        <v>30</v>
      </c>
      <c r="F129" t="s">
        <v>21</v>
      </c>
      <c r="G129" t="s">
        <v>16</v>
      </c>
      <c r="H129">
        <v>4</v>
      </c>
      <c r="I129">
        <v>158.82</v>
      </c>
      <c r="J129">
        <v>635.28</v>
      </c>
      <c r="K129" t="s">
        <v>35</v>
      </c>
      <c r="L129">
        <f>sneakers_streetwear_sales_data[[#This Row],[Amount ($)]]*0.2</f>
        <v>127.056</v>
      </c>
    </row>
    <row r="130" spans="1:12" x14ac:dyDescent="0.25">
      <c r="A130" s="1">
        <v>44722</v>
      </c>
      <c r="B130" t="s">
        <v>11</v>
      </c>
      <c r="C130" t="s">
        <v>12</v>
      </c>
      <c r="D130" t="s">
        <v>13</v>
      </c>
      <c r="E130" t="s">
        <v>26</v>
      </c>
      <c r="F130" t="s">
        <v>40</v>
      </c>
      <c r="G130" t="s">
        <v>33</v>
      </c>
      <c r="H130">
        <v>3</v>
      </c>
      <c r="I130">
        <v>209.89</v>
      </c>
      <c r="J130">
        <v>629.66999999999996</v>
      </c>
      <c r="K130" t="s">
        <v>35</v>
      </c>
      <c r="L130">
        <f>sneakers_streetwear_sales_data[[#This Row],[Amount ($)]]*0.2</f>
        <v>125.934</v>
      </c>
    </row>
    <row r="131" spans="1:12" x14ac:dyDescent="0.25">
      <c r="A131" s="1">
        <v>44738</v>
      </c>
      <c r="B131" t="s">
        <v>18</v>
      </c>
      <c r="C131" t="s">
        <v>19</v>
      </c>
      <c r="D131" t="s">
        <v>20</v>
      </c>
      <c r="E131" t="s">
        <v>14</v>
      </c>
      <c r="F131" t="s">
        <v>32</v>
      </c>
      <c r="G131" t="s">
        <v>22</v>
      </c>
      <c r="H131">
        <v>3</v>
      </c>
      <c r="I131">
        <v>209.69</v>
      </c>
      <c r="J131">
        <v>629.07000000000005</v>
      </c>
      <c r="K131" t="s">
        <v>36</v>
      </c>
      <c r="L131">
        <f>sneakers_streetwear_sales_data[[#This Row],[Amount ($)]]*0.2</f>
        <v>125.81400000000002</v>
      </c>
    </row>
    <row r="132" spans="1:12" x14ac:dyDescent="0.25">
      <c r="A132" s="1">
        <v>44773</v>
      </c>
      <c r="B132" t="s">
        <v>31</v>
      </c>
      <c r="C132" t="s">
        <v>19</v>
      </c>
      <c r="D132" t="s">
        <v>25</v>
      </c>
      <c r="E132" t="s">
        <v>26</v>
      </c>
      <c r="F132" t="s">
        <v>15</v>
      </c>
      <c r="G132" t="s">
        <v>16</v>
      </c>
      <c r="H132">
        <v>3</v>
      </c>
      <c r="I132">
        <v>209.3</v>
      </c>
      <c r="J132">
        <v>627.9</v>
      </c>
      <c r="K132" t="s">
        <v>36</v>
      </c>
      <c r="L132">
        <f>sneakers_streetwear_sales_data[[#This Row],[Amount ($)]]*0.2</f>
        <v>125.58</v>
      </c>
    </row>
    <row r="133" spans="1:12" x14ac:dyDescent="0.25">
      <c r="A133" s="1">
        <v>44573</v>
      </c>
      <c r="B133" t="s">
        <v>37</v>
      </c>
      <c r="C133" t="s">
        <v>29</v>
      </c>
      <c r="D133" t="s">
        <v>38</v>
      </c>
      <c r="E133" t="s">
        <v>30</v>
      </c>
      <c r="F133" t="s">
        <v>21</v>
      </c>
      <c r="G133" t="s">
        <v>39</v>
      </c>
      <c r="H133">
        <v>3</v>
      </c>
      <c r="I133">
        <v>205.62</v>
      </c>
      <c r="J133">
        <v>616.86</v>
      </c>
      <c r="K133" t="s">
        <v>36</v>
      </c>
      <c r="L133">
        <f>sneakers_streetwear_sales_data[[#This Row],[Amount ($)]]*0.2</f>
        <v>123.37200000000001</v>
      </c>
    </row>
    <row r="134" spans="1:12" x14ac:dyDescent="0.25">
      <c r="A134" s="1">
        <v>44718</v>
      </c>
      <c r="B134" t="s">
        <v>28</v>
      </c>
      <c r="C134" t="s">
        <v>29</v>
      </c>
      <c r="D134" t="s">
        <v>25</v>
      </c>
      <c r="E134" t="s">
        <v>14</v>
      </c>
      <c r="F134" t="s">
        <v>15</v>
      </c>
      <c r="G134" t="s">
        <v>27</v>
      </c>
      <c r="H134">
        <v>5</v>
      </c>
      <c r="I134">
        <v>123.23</v>
      </c>
      <c r="J134">
        <v>616.15</v>
      </c>
      <c r="K134" t="s">
        <v>36</v>
      </c>
      <c r="L134">
        <f>sneakers_streetwear_sales_data[[#This Row],[Amount ($)]]*0.2</f>
        <v>123.23</v>
      </c>
    </row>
    <row r="135" spans="1:12" x14ac:dyDescent="0.25">
      <c r="A135" s="1">
        <v>44789</v>
      </c>
      <c r="B135" t="s">
        <v>28</v>
      </c>
      <c r="C135" t="s">
        <v>29</v>
      </c>
      <c r="D135" t="s">
        <v>25</v>
      </c>
      <c r="E135" t="s">
        <v>26</v>
      </c>
      <c r="F135" t="s">
        <v>15</v>
      </c>
      <c r="G135" t="s">
        <v>16</v>
      </c>
      <c r="H135">
        <v>4</v>
      </c>
      <c r="I135">
        <v>153.56</v>
      </c>
      <c r="J135">
        <v>614.24</v>
      </c>
      <c r="K135" t="s">
        <v>36</v>
      </c>
      <c r="L135">
        <f>sneakers_streetwear_sales_data[[#This Row],[Amount ($)]]*0.2</f>
        <v>122.84800000000001</v>
      </c>
    </row>
    <row r="136" spans="1:12" x14ac:dyDescent="0.25">
      <c r="A136" s="1">
        <v>44635</v>
      </c>
      <c r="B136" t="s">
        <v>48</v>
      </c>
      <c r="C136" t="s">
        <v>49</v>
      </c>
      <c r="D136" t="s">
        <v>50</v>
      </c>
      <c r="E136" t="s">
        <v>14</v>
      </c>
      <c r="F136" t="s">
        <v>15</v>
      </c>
      <c r="G136" t="s">
        <v>43</v>
      </c>
      <c r="H136">
        <v>3</v>
      </c>
      <c r="I136">
        <v>203.41</v>
      </c>
      <c r="J136">
        <v>610.23</v>
      </c>
      <c r="K136" t="s">
        <v>17</v>
      </c>
      <c r="L136">
        <f>sneakers_streetwear_sales_data[[#This Row],[Amount ($)]]*0.2</f>
        <v>122.04600000000001</v>
      </c>
    </row>
    <row r="137" spans="1:12" x14ac:dyDescent="0.25">
      <c r="A137" s="1">
        <v>44565</v>
      </c>
      <c r="B137" t="s">
        <v>24</v>
      </c>
      <c r="C137" t="s">
        <v>19</v>
      </c>
      <c r="D137" t="s">
        <v>25</v>
      </c>
      <c r="E137" t="s">
        <v>30</v>
      </c>
      <c r="F137" t="s">
        <v>40</v>
      </c>
      <c r="G137" t="s">
        <v>22</v>
      </c>
      <c r="H137">
        <v>4</v>
      </c>
      <c r="I137">
        <v>151.37</v>
      </c>
      <c r="J137">
        <v>605.48</v>
      </c>
      <c r="K137" t="s">
        <v>35</v>
      </c>
      <c r="L137">
        <f>sneakers_streetwear_sales_data[[#This Row],[Amount ($)]]*0.2</f>
        <v>121.096</v>
      </c>
    </row>
    <row r="138" spans="1:12" x14ac:dyDescent="0.25">
      <c r="A138" s="1">
        <v>44696</v>
      </c>
      <c r="B138" t="s">
        <v>28</v>
      </c>
      <c r="C138" t="s">
        <v>29</v>
      </c>
      <c r="D138" t="s">
        <v>25</v>
      </c>
      <c r="E138" t="s">
        <v>14</v>
      </c>
      <c r="F138" t="s">
        <v>15</v>
      </c>
      <c r="G138" t="s">
        <v>27</v>
      </c>
      <c r="H138">
        <v>3</v>
      </c>
      <c r="I138">
        <v>200.92</v>
      </c>
      <c r="J138">
        <v>602.76</v>
      </c>
      <c r="K138" t="s">
        <v>23</v>
      </c>
      <c r="L138">
        <f>sneakers_streetwear_sales_data[[#This Row],[Amount ($)]]*0.2</f>
        <v>120.55200000000001</v>
      </c>
    </row>
    <row r="139" spans="1:12" x14ac:dyDescent="0.25">
      <c r="A139" s="1">
        <v>44754</v>
      </c>
      <c r="B139" t="s">
        <v>28</v>
      </c>
      <c r="C139" t="s">
        <v>29</v>
      </c>
      <c r="D139" t="s">
        <v>25</v>
      </c>
      <c r="E139" t="s">
        <v>26</v>
      </c>
      <c r="F139" t="s">
        <v>32</v>
      </c>
      <c r="G139" t="s">
        <v>33</v>
      </c>
      <c r="H139">
        <v>5</v>
      </c>
      <c r="I139">
        <v>120.55</v>
      </c>
      <c r="J139">
        <v>602.75</v>
      </c>
      <c r="K139" t="s">
        <v>35</v>
      </c>
      <c r="L139">
        <f>sneakers_streetwear_sales_data[[#This Row],[Amount ($)]]*0.2</f>
        <v>120.55000000000001</v>
      </c>
    </row>
    <row r="140" spans="1:12" x14ac:dyDescent="0.25">
      <c r="A140" s="1">
        <v>44638</v>
      </c>
      <c r="B140" t="s">
        <v>41</v>
      </c>
      <c r="C140" t="s">
        <v>29</v>
      </c>
      <c r="D140" t="s">
        <v>42</v>
      </c>
      <c r="E140" t="s">
        <v>30</v>
      </c>
      <c r="F140" t="s">
        <v>32</v>
      </c>
      <c r="G140" t="s">
        <v>43</v>
      </c>
      <c r="H140">
        <v>3</v>
      </c>
      <c r="I140">
        <v>200.87</v>
      </c>
      <c r="J140">
        <v>602.61</v>
      </c>
      <c r="K140" t="s">
        <v>23</v>
      </c>
      <c r="L140">
        <f>sneakers_streetwear_sales_data[[#This Row],[Amount ($)]]*0.2</f>
        <v>120.52200000000001</v>
      </c>
    </row>
    <row r="141" spans="1:12" x14ac:dyDescent="0.25">
      <c r="A141" s="1">
        <v>44732</v>
      </c>
      <c r="B141" t="s">
        <v>31</v>
      </c>
      <c r="C141" t="s">
        <v>19</v>
      </c>
      <c r="D141" t="s">
        <v>25</v>
      </c>
      <c r="E141" t="s">
        <v>26</v>
      </c>
      <c r="F141" t="s">
        <v>21</v>
      </c>
      <c r="G141" t="s">
        <v>22</v>
      </c>
      <c r="H141">
        <v>3</v>
      </c>
      <c r="I141">
        <v>199.47</v>
      </c>
      <c r="J141">
        <v>598.41</v>
      </c>
      <c r="K141" t="s">
        <v>36</v>
      </c>
      <c r="L141">
        <f>sneakers_streetwear_sales_data[[#This Row],[Amount ($)]]*0.2</f>
        <v>119.682</v>
      </c>
    </row>
    <row r="142" spans="1:12" x14ac:dyDescent="0.25">
      <c r="A142" s="1">
        <v>44719</v>
      </c>
      <c r="B142" t="s">
        <v>28</v>
      </c>
      <c r="C142" t="s">
        <v>29</v>
      </c>
      <c r="D142" t="s">
        <v>25</v>
      </c>
      <c r="E142" t="s">
        <v>14</v>
      </c>
      <c r="F142" t="s">
        <v>40</v>
      </c>
      <c r="G142" t="s">
        <v>27</v>
      </c>
      <c r="H142">
        <v>5</v>
      </c>
      <c r="I142">
        <v>119.54</v>
      </c>
      <c r="J142">
        <v>597.70000000000005</v>
      </c>
      <c r="K142" t="s">
        <v>17</v>
      </c>
      <c r="L142">
        <f>sneakers_streetwear_sales_data[[#This Row],[Amount ($)]]*0.2</f>
        <v>119.54000000000002</v>
      </c>
    </row>
    <row r="143" spans="1:12" x14ac:dyDescent="0.25">
      <c r="A143" s="1">
        <v>44654</v>
      </c>
      <c r="B143" t="s">
        <v>18</v>
      </c>
      <c r="C143" t="s">
        <v>19</v>
      </c>
      <c r="D143" t="s">
        <v>20</v>
      </c>
      <c r="E143" t="s">
        <v>26</v>
      </c>
      <c r="F143" t="s">
        <v>40</v>
      </c>
      <c r="G143" t="s">
        <v>34</v>
      </c>
      <c r="H143">
        <v>4</v>
      </c>
      <c r="I143">
        <v>148.11000000000001</v>
      </c>
      <c r="J143">
        <v>592.44000000000005</v>
      </c>
      <c r="K143" t="s">
        <v>23</v>
      </c>
      <c r="L143">
        <f>sneakers_streetwear_sales_data[[#This Row],[Amount ($)]]*0.2</f>
        <v>118.48800000000001</v>
      </c>
    </row>
    <row r="144" spans="1:12" x14ac:dyDescent="0.25">
      <c r="A144" s="1">
        <v>44562</v>
      </c>
      <c r="B144" t="s">
        <v>24</v>
      </c>
      <c r="C144" t="s">
        <v>19</v>
      </c>
      <c r="D144" t="s">
        <v>25</v>
      </c>
      <c r="E144" t="s">
        <v>26</v>
      </c>
      <c r="F144" t="s">
        <v>21</v>
      </c>
      <c r="G144" t="s">
        <v>16</v>
      </c>
      <c r="H144">
        <v>2</v>
      </c>
      <c r="I144">
        <v>294.89</v>
      </c>
      <c r="J144">
        <v>589.78</v>
      </c>
      <c r="K144" t="s">
        <v>36</v>
      </c>
      <c r="L144">
        <f>sneakers_streetwear_sales_data[[#This Row],[Amount ($)]]*0.2</f>
        <v>117.956</v>
      </c>
    </row>
    <row r="145" spans="1:12" x14ac:dyDescent="0.25">
      <c r="A145" s="1">
        <v>44694</v>
      </c>
      <c r="B145" t="s">
        <v>45</v>
      </c>
      <c r="C145" t="s">
        <v>46</v>
      </c>
      <c r="D145" t="s">
        <v>47</v>
      </c>
      <c r="E145" t="s">
        <v>26</v>
      </c>
      <c r="F145" t="s">
        <v>21</v>
      </c>
      <c r="G145" t="s">
        <v>16</v>
      </c>
      <c r="H145">
        <v>4</v>
      </c>
      <c r="I145">
        <v>146.09</v>
      </c>
      <c r="J145">
        <v>584.36</v>
      </c>
      <c r="K145" t="s">
        <v>23</v>
      </c>
      <c r="L145">
        <f>sneakers_streetwear_sales_data[[#This Row],[Amount ($)]]*0.2</f>
        <v>116.87200000000001</v>
      </c>
    </row>
    <row r="146" spans="1:12" x14ac:dyDescent="0.25">
      <c r="A146" s="1">
        <v>44745</v>
      </c>
      <c r="B146" t="s">
        <v>18</v>
      </c>
      <c r="C146" t="s">
        <v>19</v>
      </c>
      <c r="D146" t="s">
        <v>20</v>
      </c>
      <c r="E146" t="s">
        <v>26</v>
      </c>
      <c r="F146" t="s">
        <v>32</v>
      </c>
      <c r="G146" t="s">
        <v>33</v>
      </c>
      <c r="H146">
        <v>4</v>
      </c>
      <c r="I146">
        <v>145.88999999999999</v>
      </c>
      <c r="J146">
        <v>583.55999999999995</v>
      </c>
      <c r="K146" t="s">
        <v>17</v>
      </c>
      <c r="L146">
        <f>sneakers_streetwear_sales_data[[#This Row],[Amount ($)]]*0.2</f>
        <v>116.71199999999999</v>
      </c>
    </row>
    <row r="147" spans="1:12" x14ac:dyDescent="0.25">
      <c r="A147" s="1">
        <v>44650</v>
      </c>
      <c r="B147" t="s">
        <v>41</v>
      </c>
      <c r="C147" t="s">
        <v>29</v>
      </c>
      <c r="D147" t="s">
        <v>42</v>
      </c>
      <c r="E147" t="s">
        <v>30</v>
      </c>
      <c r="F147" t="s">
        <v>15</v>
      </c>
      <c r="G147" t="s">
        <v>27</v>
      </c>
      <c r="H147">
        <v>4</v>
      </c>
      <c r="I147">
        <v>145.28</v>
      </c>
      <c r="J147">
        <v>581.12</v>
      </c>
      <c r="K147" t="s">
        <v>17</v>
      </c>
      <c r="L147">
        <f>sneakers_streetwear_sales_data[[#This Row],[Amount ($)]]*0.2</f>
        <v>116.224</v>
      </c>
    </row>
    <row r="148" spans="1:12" x14ac:dyDescent="0.25">
      <c r="A148" s="1">
        <v>44777</v>
      </c>
      <c r="B148" t="s">
        <v>48</v>
      </c>
      <c r="C148" t="s">
        <v>49</v>
      </c>
      <c r="D148" t="s">
        <v>50</v>
      </c>
      <c r="E148" t="s">
        <v>30</v>
      </c>
      <c r="F148" t="s">
        <v>40</v>
      </c>
      <c r="G148" t="s">
        <v>33</v>
      </c>
      <c r="H148">
        <v>2</v>
      </c>
      <c r="I148">
        <v>288.87</v>
      </c>
      <c r="J148">
        <v>577.74</v>
      </c>
      <c r="K148" t="s">
        <v>35</v>
      </c>
      <c r="L148">
        <f>sneakers_streetwear_sales_data[[#This Row],[Amount ($)]]*0.2</f>
        <v>115.548</v>
      </c>
    </row>
    <row r="149" spans="1:12" x14ac:dyDescent="0.25">
      <c r="A149" s="1">
        <v>44768</v>
      </c>
      <c r="B149" t="s">
        <v>45</v>
      </c>
      <c r="C149" t="s">
        <v>46</v>
      </c>
      <c r="D149" t="s">
        <v>47</v>
      </c>
      <c r="E149" t="s">
        <v>26</v>
      </c>
      <c r="F149" t="s">
        <v>40</v>
      </c>
      <c r="G149" t="s">
        <v>34</v>
      </c>
      <c r="H149">
        <v>2</v>
      </c>
      <c r="I149">
        <v>287.68</v>
      </c>
      <c r="J149">
        <v>575.36</v>
      </c>
      <c r="K149" t="s">
        <v>23</v>
      </c>
      <c r="L149">
        <f>sneakers_streetwear_sales_data[[#This Row],[Amount ($)]]*0.2</f>
        <v>115.072</v>
      </c>
    </row>
    <row r="150" spans="1:12" x14ac:dyDescent="0.25">
      <c r="A150" s="1">
        <v>44657</v>
      </c>
      <c r="B150" t="s">
        <v>28</v>
      </c>
      <c r="C150" t="s">
        <v>29</v>
      </c>
      <c r="D150" t="s">
        <v>25</v>
      </c>
      <c r="E150" t="s">
        <v>30</v>
      </c>
      <c r="F150" t="s">
        <v>40</v>
      </c>
      <c r="G150" t="s">
        <v>16</v>
      </c>
      <c r="H150">
        <v>2</v>
      </c>
      <c r="I150">
        <v>283.60000000000002</v>
      </c>
      <c r="J150">
        <v>567.20000000000005</v>
      </c>
      <c r="K150" t="s">
        <v>35</v>
      </c>
      <c r="L150">
        <f>sneakers_streetwear_sales_data[[#This Row],[Amount ($)]]*0.2</f>
        <v>113.44000000000001</v>
      </c>
    </row>
    <row r="151" spans="1:12" x14ac:dyDescent="0.25">
      <c r="A151" s="1">
        <v>44725</v>
      </c>
      <c r="B151" t="s">
        <v>18</v>
      </c>
      <c r="C151" t="s">
        <v>19</v>
      </c>
      <c r="D151" t="s">
        <v>20</v>
      </c>
      <c r="E151" t="s">
        <v>30</v>
      </c>
      <c r="F151" t="s">
        <v>32</v>
      </c>
      <c r="G151" t="s">
        <v>43</v>
      </c>
      <c r="H151">
        <v>4</v>
      </c>
      <c r="I151">
        <v>141.35</v>
      </c>
      <c r="J151">
        <v>565.4</v>
      </c>
      <c r="K151" t="s">
        <v>35</v>
      </c>
      <c r="L151">
        <f>sneakers_streetwear_sales_data[[#This Row],[Amount ($)]]*0.2</f>
        <v>113.08</v>
      </c>
    </row>
    <row r="152" spans="1:12" x14ac:dyDescent="0.25">
      <c r="A152" s="1">
        <v>44707</v>
      </c>
      <c r="B152" t="s">
        <v>44</v>
      </c>
      <c r="C152" t="s">
        <v>19</v>
      </c>
      <c r="D152" t="s">
        <v>20</v>
      </c>
      <c r="E152" t="s">
        <v>30</v>
      </c>
      <c r="F152" t="s">
        <v>21</v>
      </c>
      <c r="G152" t="s">
        <v>33</v>
      </c>
      <c r="H152">
        <v>5</v>
      </c>
      <c r="I152">
        <v>112.95</v>
      </c>
      <c r="J152">
        <v>564.75</v>
      </c>
      <c r="K152" t="s">
        <v>17</v>
      </c>
      <c r="L152">
        <f>sneakers_streetwear_sales_data[[#This Row],[Amount ($)]]*0.2</f>
        <v>112.95</v>
      </c>
    </row>
    <row r="153" spans="1:12" x14ac:dyDescent="0.25">
      <c r="A153" s="1">
        <v>44648</v>
      </c>
      <c r="B153" t="s">
        <v>48</v>
      </c>
      <c r="C153" t="s">
        <v>49</v>
      </c>
      <c r="D153" t="s">
        <v>50</v>
      </c>
      <c r="E153" t="s">
        <v>26</v>
      </c>
      <c r="F153" t="s">
        <v>21</v>
      </c>
      <c r="G153" t="s">
        <v>43</v>
      </c>
      <c r="H153">
        <v>5</v>
      </c>
      <c r="I153">
        <v>112.4</v>
      </c>
      <c r="J153">
        <v>562</v>
      </c>
      <c r="K153" t="s">
        <v>36</v>
      </c>
      <c r="L153">
        <f>sneakers_streetwear_sales_data[[#This Row],[Amount ($)]]*0.2</f>
        <v>112.4</v>
      </c>
    </row>
    <row r="154" spans="1:12" x14ac:dyDescent="0.25">
      <c r="A154" s="1">
        <v>44621</v>
      </c>
      <c r="B154" t="s">
        <v>18</v>
      </c>
      <c r="C154" t="s">
        <v>19</v>
      </c>
      <c r="D154" t="s">
        <v>20</v>
      </c>
      <c r="E154" t="s">
        <v>30</v>
      </c>
      <c r="F154" t="s">
        <v>21</v>
      </c>
      <c r="G154" t="s">
        <v>39</v>
      </c>
      <c r="H154">
        <v>5</v>
      </c>
      <c r="I154">
        <v>112.04</v>
      </c>
      <c r="J154">
        <v>560.20000000000005</v>
      </c>
      <c r="K154" t="s">
        <v>36</v>
      </c>
      <c r="L154">
        <f>sneakers_streetwear_sales_data[[#This Row],[Amount ($)]]*0.2</f>
        <v>112.04000000000002</v>
      </c>
    </row>
    <row r="155" spans="1:12" x14ac:dyDescent="0.25">
      <c r="A155" s="1">
        <v>44757</v>
      </c>
      <c r="B155" t="s">
        <v>44</v>
      </c>
      <c r="C155" t="s">
        <v>19</v>
      </c>
      <c r="D155" t="s">
        <v>20</v>
      </c>
      <c r="E155" t="s">
        <v>30</v>
      </c>
      <c r="F155" t="s">
        <v>21</v>
      </c>
      <c r="G155" t="s">
        <v>33</v>
      </c>
      <c r="H155">
        <v>2</v>
      </c>
      <c r="I155">
        <v>277.48</v>
      </c>
      <c r="J155">
        <v>554.96</v>
      </c>
      <c r="K155" t="s">
        <v>17</v>
      </c>
      <c r="L155">
        <f>sneakers_streetwear_sales_data[[#This Row],[Amount ($)]]*0.2</f>
        <v>110.99200000000002</v>
      </c>
    </row>
    <row r="156" spans="1:12" x14ac:dyDescent="0.25">
      <c r="A156" s="1">
        <v>44646</v>
      </c>
      <c r="B156" t="s">
        <v>18</v>
      </c>
      <c r="C156" t="s">
        <v>19</v>
      </c>
      <c r="D156" t="s">
        <v>20</v>
      </c>
      <c r="E156" t="s">
        <v>26</v>
      </c>
      <c r="F156" t="s">
        <v>15</v>
      </c>
      <c r="G156" t="s">
        <v>34</v>
      </c>
      <c r="H156">
        <v>2</v>
      </c>
      <c r="I156">
        <v>277.26</v>
      </c>
      <c r="J156">
        <v>554.52</v>
      </c>
      <c r="K156" t="s">
        <v>35</v>
      </c>
      <c r="L156">
        <f>sneakers_streetwear_sales_data[[#This Row],[Amount ($)]]*0.2</f>
        <v>110.904</v>
      </c>
    </row>
    <row r="157" spans="1:12" x14ac:dyDescent="0.25">
      <c r="A157" s="1">
        <v>44604</v>
      </c>
      <c r="B157" t="s">
        <v>41</v>
      </c>
      <c r="C157" t="s">
        <v>29</v>
      </c>
      <c r="D157" t="s">
        <v>42</v>
      </c>
      <c r="E157" t="s">
        <v>30</v>
      </c>
      <c r="F157" t="s">
        <v>40</v>
      </c>
      <c r="G157" t="s">
        <v>34</v>
      </c>
      <c r="H157">
        <v>5</v>
      </c>
      <c r="I157">
        <v>110.05</v>
      </c>
      <c r="J157">
        <v>550.25</v>
      </c>
      <c r="K157" t="s">
        <v>17</v>
      </c>
      <c r="L157">
        <f>sneakers_streetwear_sales_data[[#This Row],[Amount ($)]]*0.2</f>
        <v>110.05000000000001</v>
      </c>
    </row>
    <row r="158" spans="1:12" x14ac:dyDescent="0.25">
      <c r="A158" s="1">
        <v>44803</v>
      </c>
      <c r="B158" t="s">
        <v>31</v>
      </c>
      <c r="C158" t="s">
        <v>19</v>
      </c>
      <c r="D158" t="s">
        <v>25</v>
      </c>
      <c r="E158" t="s">
        <v>26</v>
      </c>
      <c r="F158" t="s">
        <v>15</v>
      </c>
      <c r="G158" t="s">
        <v>34</v>
      </c>
      <c r="H158">
        <v>3</v>
      </c>
      <c r="I158">
        <v>182.2</v>
      </c>
      <c r="J158">
        <v>546.6</v>
      </c>
      <c r="K158" t="s">
        <v>17</v>
      </c>
      <c r="L158">
        <f>sneakers_streetwear_sales_data[[#This Row],[Amount ($)]]*0.2</f>
        <v>109.32000000000001</v>
      </c>
    </row>
    <row r="159" spans="1:12" x14ac:dyDescent="0.25">
      <c r="A159" s="1">
        <v>44766</v>
      </c>
      <c r="B159" t="s">
        <v>45</v>
      </c>
      <c r="C159" t="s">
        <v>46</v>
      </c>
      <c r="D159" t="s">
        <v>47</v>
      </c>
      <c r="E159" t="s">
        <v>14</v>
      </c>
      <c r="F159" t="s">
        <v>15</v>
      </c>
      <c r="G159" t="s">
        <v>43</v>
      </c>
      <c r="H159">
        <v>4</v>
      </c>
      <c r="I159">
        <v>135.07</v>
      </c>
      <c r="J159">
        <v>540.28</v>
      </c>
      <c r="K159" t="s">
        <v>23</v>
      </c>
      <c r="L159">
        <f>sneakers_streetwear_sales_data[[#This Row],[Amount ($)]]*0.2</f>
        <v>108.056</v>
      </c>
    </row>
    <row r="160" spans="1:12" x14ac:dyDescent="0.25">
      <c r="A160" s="1">
        <v>44777</v>
      </c>
      <c r="B160" t="s">
        <v>28</v>
      </c>
      <c r="C160" t="s">
        <v>29</v>
      </c>
      <c r="D160" t="s">
        <v>25</v>
      </c>
      <c r="E160" t="s">
        <v>26</v>
      </c>
      <c r="F160" t="s">
        <v>15</v>
      </c>
      <c r="G160" t="s">
        <v>22</v>
      </c>
      <c r="H160">
        <v>2</v>
      </c>
      <c r="I160">
        <v>269.88</v>
      </c>
      <c r="J160">
        <v>539.76</v>
      </c>
      <c r="K160" t="s">
        <v>23</v>
      </c>
      <c r="L160">
        <f>sneakers_streetwear_sales_data[[#This Row],[Amount ($)]]*0.2</f>
        <v>107.952</v>
      </c>
    </row>
    <row r="161" spans="1:12" x14ac:dyDescent="0.25">
      <c r="A161" s="1">
        <v>44564</v>
      </c>
      <c r="B161" t="s">
        <v>48</v>
      </c>
      <c r="C161" t="s">
        <v>49</v>
      </c>
      <c r="D161" t="s">
        <v>50</v>
      </c>
      <c r="E161" t="s">
        <v>26</v>
      </c>
      <c r="F161" t="s">
        <v>15</v>
      </c>
      <c r="G161" t="s">
        <v>16</v>
      </c>
      <c r="H161">
        <v>2</v>
      </c>
      <c r="I161">
        <v>267.42</v>
      </c>
      <c r="J161">
        <v>534.84</v>
      </c>
      <c r="K161" t="s">
        <v>23</v>
      </c>
      <c r="L161">
        <f>sneakers_streetwear_sales_data[[#This Row],[Amount ($)]]*0.2</f>
        <v>106.96800000000002</v>
      </c>
    </row>
    <row r="162" spans="1:12" x14ac:dyDescent="0.25">
      <c r="A162" s="1">
        <v>44719</v>
      </c>
      <c r="B162" t="s">
        <v>41</v>
      </c>
      <c r="C162" t="s">
        <v>29</v>
      </c>
      <c r="D162" t="s">
        <v>42</v>
      </c>
      <c r="E162" t="s">
        <v>14</v>
      </c>
      <c r="F162" t="s">
        <v>32</v>
      </c>
      <c r="G162" t="s">
        <v>27</v>
      </c>
      <c r="H162">
        <v>4</v>
      </c>
      <c r="I162">
        <v>133.69999999999999</v>
      </c>
      <c r="J162">
        <v>534.79999999999995</v>
      </c>
      <c r="K162" t="s">
        <v>35</v>
      </c>
      <c r="L162">
        <f>sneakers_streetwear_sales_data[[#This Row],[Amount ($)]]*0.2</f>
        <v>106.96</v>
      </c>
    </row>
    <row r="163" spans="1:12" x14ac:dyDescent="0.25">
      <c r="A163" s="1">
        <v>44795</v>
      </c>
      <c r="B163" t="s">
        <v>18</v>
      </c>
      <c r="C163" t="s">
        <v>19</v>
      </c>
      <c r="D163" t="s">
        <v>20</v>
      </c>
      <c r="E163" t="s">
        <v>14</v>
      </c>
      <c r="F163" t="s">
        <v>21</v>
      </c>
      <c r="G163" t="s">
        <v>22</v>
      </c>
      <c r="H163">
        <v>2</v>
      </c>
      <c r="I163">
        <v>267.33999999999997</v>
      </c>
      <c r="J163">
        <v>534.67999999999995</v>
      </c>
      <c r="K163" t="s">
        <v>23</v>
      </c>
      <c r="L163">
        <f>sneakers_streetwear_sales_data[[#This Row],[Amount ($)]]*0.2</f>
        <v>106.93599999999999</v>
      </c>
    </row>
    <row r="164" spans="1:12" x14ac:dyDescent="0.25">
      <c r="A164" s="1">
        <v>44774</v>
      </c>
      <c r="B164" t="s">
        <v>31</v>
      </c>
      <c r="C164" t="s">
        <v>19</v>
      </c>
      <c r="D164" t="s">
        <v>25</v>
      </c>
      <c r="E164" t="s">
        <v>30</v>
      </c>
      <c r="F164" t="s">
        <v>21</v>
      </c>
      <c r="G164" t="s">
        <v>22</v>
      </c>
      <c r="H164">
        <v>4</v>
      </c>
      <c r="I164">
        <v>130.97</v>
      </c>
      <c r="J164">
        <v>523.88</v>
      </c>
      <c r="K164" t="s">
        <v>17</v>
      </c>
      <c r="L164">
        <f>sneakers_streetwear_sales_data[[#This Row],[Amount ($)]]*0.2</f>
        <v>104.77600000000001</v>
      </c>
    </row>
    <row r="165" spans="1:12" x14ac:dyDescent="0.25">
      <c r="A165" s="1">
        <v>44611</v>
      </c>
      <c r="B165" t="s">
        <v>44</v>
      </c>
      <c r="C165" t="s">
        <v>19</v>
      </c>
      <c r="D165" t="s">
        <v>20</v>
      </c>
      <c r="E165" t="s">
        <v>14</v>
      </c>
      <c r="F165" t="s">
        <v>21</v>
      </c>
      <c r="G165" t="s">
        <v>33</v>
      </c>
      <c r="H165">
        <v>4</v>
      </c>
      <c r="I165">
        <v>129.94999999999999</v>
      </c>
      <c r="J165">
        <v>519.79999999999995</v>
      </c>
      <c r="K165" t="s">
        <v>23</v>
      </c>
      <c r="L165">
        <f>sneakers_streetwear_sales_data[[#This Row],[Amount ($)]]*0.2</f>
        <v>103.96</v>
      </c>
    </row>
    <row r="166" spans="1:12" x14ac:dyDescent="0.25">
      <c r="A166" s="1">
        <v>44708</v>
      </c>
      <c r="B166" t="s">
        <v>48</v>
      </c>
      <c r="C166" t="s">
        <v>49</v>
      </c>
      <c r="D166" t="s">
        <v>50</v>
      </c>
      <c r="E166" t="s">
        <v>26</v>
      </c>
      <c r="F166" t="s">
        <v>40</v>
      </c>
      <c r="G166" t="s">
        <v>33</v>
      </c>
      <c r="H166">
        <v>2</v>
      </c>
      <c r="I166">
        <v>259.66000000000003</v>
      </c>
      <c r="J166">
        <v>519.32000000000005</v>
      </c>
      <c r="K166" t="s">
        <v>36</v>
      </c>
      <c r="L166">
        <f>sneakers_streetwear_sales_data[[#This Row],[Amount ($)]]*0.2</f>
        <v>103.86400000000002</v>
      </c>
    </row>
    <row r="167" spans="1:12" x14ac:dyDescent="0.25">
      <c r="A167" s="1">
        <v>44744</v>
      </c>
      <c r="B167" t="s">
        <v>28</v>
      </c>
      <c r="C167" t="s">
        <v>29</v>
      </c>
      <c r="D167" t="s">
        <v>25</v>
      </c>
      <c r="E167" t="s">
        <v>26</v>
      </c>
      <c r="F167" t="s">
        <v>40</v>
      </c>
      <c r="G167" t="s">
        <v>16</v>
      </c>
      <c r="H167">
        <v>2</v>
      </c>
      <c r="I167">
        <v>259.45999999999998</v>
      </c>
      <c r="J167">
        <v>518.91999999999996</v>
      </c>
      <c r="K167" t="s">
        <v>36</v>
      </c>
      <c r="L167">
        <f>sneakers_streetwear_sales_data[[#This Row],[Amount ($)]]*0.2</f>
        <v>103.78399999999999</v>
      </c>
    </row>
    <row r="168" spans="1:12" x14ac:dyDescent="0.25">
      <c r="A168" s="1">
        <v>44751</v>
      </c>
      <c r="B168" t="s">
        <v>28</v>
      </c>
      <c r="C168" t="s">
        <v>29</v>
      </c>
      <c r="D168" t="s">
        <v>25</v>
      </c>
      <c r="E168" t="s">
        <v>26</v>
      </c>
      <c r="F168" t="s">
        <v>15</v>
      </c>
      <c r="G168" t="s">
        <v>39</v>
      </c>
      <c r="H168">
        <v>3</v>
      </c>
      <c r="I168">
        <v>172.37</v>
      </c>
      <c r="J168">
        <v>517.11</v>
      </c>
      <c r="K168" t="s">
        <v>17</v>
      </c>
      <c r="L168">
        <f>sneakers_streetwear_sales_data[[#This Row],[Amount ($)]]*0.2</f>
        <v>103.42200000000001</v>
      </c>
    </row>
    <row r="169" spans="1:12" x14ac:dyDescent="0.25">
      <c r="A169" s="1">
        <v>44741</v>
      </c>
      <c r="B169" t="s">
        <v>41</v>
      </c>
      <c r="C169" t="s">
        <v>29</v>
      </c>
      <c r="D169" t="s">
        <v>42</v>
      </c>
      <c r="E169" t="s">
        <v>30</v>
      </c>
      <c r="F169" t="s">
        <v>21</v>
      </c>
      <c r="G169" t="s">
        <v>22</v>
      </c>
      <c r="H169">
        <v>2</v>
      </c>
      <c r="I169">
        <v>257.5</v>
      </c>
      <c r="J169">
        <v>515</v>
      </c>
      <c r="K169" t="s">
        <v>35</v>
      </c>
      <c r="L169">
        <f>sneakers_streetwear_sales_data[[#This Row],[Amount ($)]]*0.2</f>
        <v>103</v>
      </c>
    </row>
    <row r="170" spans="1:12" x14ac:dyDescent="0.25">
      <c r="A170" s="1">
        <v>44696</v>
      </c>
      <c r="B170" t="s">
        <v>18</v>
      </c>
      <c r="C170" t="s">
        <v>19</v>
      </c>
      <c r="D170" t="s">
        <v>20</v>
      </c>
      <c r="E170" t="s">
        <v>26</v>
      </c>
      <c r="F170" t="s">
        <v>15</v>
      </c>
      <c r="G170" t="s">
        <v>33</v>
      </c>
      <c r="H170">
        <v>4</v>
      </c>
      <c r="I170">
        <v>127.55</v>
      </c>
      <c r="J170">
        <v>510.2</v>
      </c>
      <c r="K170" t="s">
        <v>23</v>
      </c>
      <c r="L170">
        <f>sneakers_streetwear_sales_data[[#This Row],[Amount ($)]]*0.2</f>
        <v>102.04</v>
      </c>
    </row>
    <row r="171" spans="1:12" x14ac:dyDescent="0.25">
      <c r="A171" s="1">
        <v>44654</v>
      </c>
      <c r="B171" t="s">
        <v>18</v>
      </c>
      <c r="C171" t="s">
        <v>19</v>
      </c>
      <c r="D171" t="s">
        <v>20</v>
      </c>
      <c r="E171" t="s">
        <v>30</v>
      </c>
      <c r="F171" t="s">
        <v>40</v>
      </c>
      <c r="G171" t="s">
        <v>34</v>
      </c>
      <c r="H171">
        <v>4</v>
      </c>
      <c r="I171">
        <v>127.11</v>
      </c>
      <c r="J171">
        <v>508.44</v>
      </c>
      <c r="K171" t="s">
        <v>23</v>
      </c>
      <c r="L171">
        <f>sneakers_streetwear_sales_data[[#This Row],[Amount ($)]]*0.2</f>
        <v>101.688</v>
      </c>
    </row>
    <row r="172" spans="1:12" x14ac:dyDescent="0.25">
      <c r="A172" s="1">
        <v>44672</v>
      </c>
      <c r="B172" t="s">
        <v>37</v>
      </c>
      <c r="C172" t="s">
        <v>29</v>
      </c>
      <c r="D172" t="s">
        <v>38</v>
      </c>
      <c r="E172" t="s">
        <v>30</v>
      </c>
      <c r="F172" t="s">
        <v>40</v>
      </c>
      <c r="G172" t="s">
        <v>33</v>
      </c>
      <c r="H172">
        <v>5</v>
      </c>
      <c r="I172">
        <v>100.65</v>
      </c>
      <c r="J172">
        <v>503.25</v>
      </c>
      <c r="K172" t="s">
        <v>36</v>
      </c>
      <c r="L172">
        <f>sneakers_streetwear_sales_data[[#This Row],[Amount ($)]]*0.2</f>
        <v>100.65</v>
      </c>
    </row>
    <row r="173" spans="1:12" x14ac:dyDescent="0.25">
      <c r="A173" s="1">
        <v>44753</v>
      </c>
      <c r="B173" t="s">
        <v>11</v>
      </c>
      <c r="C173" t="s">
        <v>12</v>
      </c>
      <c r="D173" t="s">
        <v>13</v>
      </c>
      <c r="E173" t="s">
        <v>26</v>
      </c>
      <c r="F173" t="s">
        <v>40</v>
      </c>
      <c r="G173" t="s">
        <v>43</v>
      </c>
      <c r="H173">
        <v>3</v>
      </c>
      <c r="I173">
        <v>167.36</v>
      </c>
      <c r="J173">
        <v>502.08</v>
      </c>
      <c r="K173" t="s">
        <v>35</v>
      </c>
      <c r="L173">
        <f>sneakers_streetwear_sales_data[[#This Row],[Amount ($)]]*0.2</f>
        <v>100.416</v>
      </c>
    </row>
    <row r="174" spans="1:12" x14ac:dyDescent="0.25">
      <c r="A174" s="1">
        <v>44631</v>
      </c>
      <c r="B174" t="s">
        <v>28</v>
      </c>
      <c r="C174" t="s">
        <v>29</v>
      </c>
      <c r="D174" t="s">
        <v>25</v>
      </c>
      <c r="E174" t="s">
        <v>26</v>
      </c>
      <c r="F174" t="s">
        <v>15</v>
      </c>
      <c r="G174" t="s">
        <v>43</v>
      </c>
      <c r="H174">
        <v>5</v>
      </c>
      <c r="I174">
        <v>99.89</v>
      </c>
      <c r="J174">
        <v>499.45</v>
      </c>
      <c r="K174" t="s">
        <v>23</v>
      </c>
      <c r="L174">
        <f>sneakers_streetwear_sales_data[[#This Row],[Amount ($)]]*0.2</f>
        <v>99.89</v>
      </c>
    </row>
    <row r="175" spans="1:12" x14ac:dyDescent="0.25">
      <c r="A175" s="1">
        <v>44789</v>
      </c>
      <c r="B175" t="s">
        <v>48</v>
      </c>
      <c r="C175" t="s">
        <v>49</v>
      </c>
      <c r="D175" t="s">
        <v>50</v>
      </c>
      <c r="E175" t="s">
        <v>14</v>
      </c>
      <c r="F175" t="s">
        <v>15</v>
      </c>
      <c r="G175" t="s">
        <v>16</v>
      </c>
      <c r="H175">
        <v>2</v>
      </c>
      <c r="I175">
        <v>249.49</v>
      </c>
      <c r="J175">
        <v>498.98</v>
      </c>
      <c r="K175" t="s">
        <v>23</v>
      </c>
      <c r="L175">
        <f>sneakers_streetwear_sales_data[[#This Row],[Amount ($)]]*0.2</f>
        <v>99.796000000000006</v>
      </c>
    </row>
    <row r="176" spans="1:12" x14ac:dyDescent="0.25">
      <c r="A176" s="1">
        <v>44583</v>
      </c>
      <c r="B176" t="s">
        <v>31</v>
      </c>
      <c r="C176" t="s">
        <v>19</v>
      </c>
      <c r="D176" t="s">
        <v>25</v>
      </c>
      <c r="E176" t="s">
        <v>14</v>
      </c>
      <c r="F176" t="s">
        <v>32</v>
      </c>
      <c r="G176" t="s">
        <v>39</v>
      </c>
      <c r="H176">
        <v>4</v>
      </c>
      <c r="I176">
        <v>124.4</v>
      </c>
      <c r="J176">
        <v>497.6</v>
      </c>
      <c r="K176" t="s">
        <v>36</v>
      </c>
      <c r="L176">
        <f>sneakers_streetwear_sales_data[[#This Row],[Amount ($)]]*0.2</f>
        <v>99.52000000000001</v>
      </c>
    </row>
    <row r="177" spans="1:12" x14ac:dyDescent="0.25">
      <c r="A177" s="1">
        <v>44616</v>
      </c>
      <c r="B177" t="s">
        <v>18</v>
      </c>
      <c r="C177" t="s">
        <v>19</v>
      </c>
      <c r="D177" t="s">
        <v>20</v>
      </c>
      <c r="E177" t="s">
        <v>14</v>
      </c>
      <c r="F177" t="s">
        <v>40</v>
      </c>
      <c r="G177" t="s">
        <v>39</v>
      </c>
      <c r="H177">
        <v>2</v>
      </c>
      <c r="I177">
        <v>248.44</v>
      </c>
      <c r="J177">
        <v>496.88</v>
      </c>
      <c r="K177" t="s">
        <v>23</v>
      </c>
      <c r="L177">
        <f>sneakers_streetwear_sales_data[[#This Row],[Amount ($)]]*0.2</f>
        <v>99.376000000000005</v>
      </c>
    </row>
    <row r="178" spans="1:12" x14ac:dyDescent="0.25">
      <c r="A178" s="1">
        <v>44600</v>
      </c>
      <c r="B178" t="s">
        <v>11</v>
      </c>
      <c r="C178" t="s">
        <v>12</v>
      </c>
      <c r="D178" t="s">
        <v>13</v>
      </c>
      <c r="E178" t="s">
        <v>30</v>
      </c>
      <c r="F178" t="s">
        <v>32</v>
      </c>
      <c r="G178" t="s">
        <v>39</v>
      </c>
      <c r="H178">
        <v>2</v>
      </c>
      <c r="I178">
        <v>247.2</v>
      </c>
      <c r="J178">
        <v>494.4</v>
      </c>
      <c r="K178" t="s">
        <v>35</v>
      </c>
      <c r="L178">
        <f>sneakers_streetwear_sales_data[[#This Row],[Amount ($)]]*0.2</f>
        <v>98.88</v>
      </c>
    </row>
    <row r="179" spans="1:12" x14ac:dyDescent="0.25">
      <c r="A179" s="1">
        <v>44638</v>
      </c>
      <c r="B179" t="s">
        <v>44</v>
      </c>
      <c r="C179" t="s">
        <v>19</v>
      </c>
      <c r="D179" t="s">
        <v>20</v>
      </c>
      <c r="E179" t="s">
        <v>26</v>
      </c>
      <c r="F179" t="s">
        <v>21</v>
      </c>
      <c r="G179" t="s">
        <v>39</v>
      </c>
      <c r="H179">
        <v>3</v>
      </c>
      <c r="I179">
        <v>164.06</v>
      </c>
      <c r="J179">
        <v>492.18</v>
      </c>
      <c r="K179" t="s">
        <v>35</v>
      </c>
      <c r="L179">
        <f>sneakers_streetwear_sales_data[[#This Row],[Amount ($)]]*0.2</f>
        <v>98.436000000000007</v>
      </c>
    </row>
    <row r="180" spans="1:12" x14ac:dyDescent="0.25">
      <c r="A180" s="1">
        <v>44738</v>
      </c>
      <c r="B180" t="s">
        <v>44</v>
      </c>
      <c r="C180" t="s">
        <v>19</v>
      </c>
      <c r="D180" t="s">
        <v>20</v>
      </c>
      <c r="E180" t="s">
        <v>30</v>
      </c>
      <c r="F180" t="s">
        <v>15</v>
      </c>
      <c r="G180" t="s">
        <v>16</v>
      </c>
      <c r="H180">
        <v>5</v>
      </c>
      <c r="I180">
        <v>98.23</v>
      </c>
      <c r="J180">
        <v>491.15</v>
      </c>
      <c r="K180" t="s">
        <v>23</v>
      </c>
      <c r="L180">
        <f>sneakers_streetwear_sales_data[[#This Row],[Amount ($)]]*0.2</f>
        <v>98.23</v>
      </c>
    </row>
    <row r="181" spans="1:12" x14ac:dyDescent="0.25">
      <c r="A181" s="1">
        <v>44580</v>
      </c>
      <c r="B181" t="s">
        <v>28</v>
      </c>
      <c r="C181" t="s">
        <v>29</v>
      </c>
      <c r="D181" t="s">
        <v>25</v>
      </c>
      <c r="E181" t="s">
        <v>26</v>
      </c>
      <c r="F181" t="s">
        <v>21</v>
      </c>
      <c r="G181" t="s">
        <v>34</v>
      </c>
      <c r="H181">
        <v>2</v>
      </c>
      <c r="I181">
        <v>244.13</v>
      </c>
      <c r="J181">
        <v>488.26</v>
      </c>
      <c r="K181" t="s">
        <v>23</v>
      </c>
      <c r="L181">
        <f>sneakers_streetwear_sales_data[[#This Row],[Amount ($)]]*0.2</f>
        <v>97.652000000000001</v>
      </c>
    </row>
    <row r="182" spans="1:12" x14ac:dyDescent="0.25">
      <c r="A182" s="1">
        <v>44783</v>
      </c>
      <c r="B182" t="s">
        <v>48</v>
      </c>
      <c r="C182" t="s">
        <v>49</v>
      </c>
      <c r="D182" t="s">
        <v>50</v>
      </c>
      <c r="E182" t="s">
        <v>30</v>
      </c>
      <c r="F182" t="s">
        <v>21</v>
      </c>
      <c r="G182" t="s">
        <v>16</v>
      </c>
      <c r="H182">
        <v>4</v>
      </c>
      <c r="I182">
        <v>121.9</v>
      </c>
      <c r="J182">
        <v>487.6</v>
      </c>
      <c r="K182" t="s">
        <v>17</v>
      </c>
      <c r="L182">
        <f>sneakers_streetwear_sales_data[[#This Row],[Amount ($)]]*0.2</f>
        <v>97.52000000000001</v>
      </c>
    </row>
    <row r="183" spans="1:12" x14ac:dyDescent="0.25">
      <c r="A183" s="1">
        <v>44627</v>
      </c>
      <c r="B183" t="s">
        <v>37</v>
      </c>
      <c r="C183" t="s">
        <v>29</v>
      </c>
      <c r="D183" t="s">
        <v>38</v>
      </c>
      <c r="E183" t="s">
        <v>30</v>
      </c>
      <c r="F183" t="s">
        <v>21</v>
      </c>
      <c r="G183" t="s">
        <v>16</v>
      </c>
      <c r="H183">
        <v>3</v>
      </c>
      <c r="I183">
        <v>162.36000000000001</v>
      </c>
      <c r="J183">
        <v>487.08</v>
      </c>
      <c r="K183" t="s">
        <v>36</v>
      </c>
      <c r="L183">
        <f>sneakers_streetwear_sales_data[[#This Row],[Amount ($)]]*0.2</f>
        <v>97.415999999999997</v>
      </c>
    </row>
    <row r="184" spans="1:12" x14ac:dyDescent="0.25">
      <c r="A184" s="1">
        <v>44737</v>
      </c>
      <c r="B184" t="s">
        <v>31</v>
      </c>
      <c r="C184" t="s">
        <v>19</v>
      </c>
      <c r="D184" t="s">
        <v>25</v>
      </c>
      <c r="E184" t="s">
        <v>14</v>
      </c>
      <c r="F184" t="s">
        <v>32</v>
      </c>
      <c r="G184" t="s">
        <v>33</v>
      </c>
      <c r="H184">
        <v>4</v>
      </c>
      <c r="I184">
        <v>121.42</v>
      </c>
      <c r="J184">
        <v>485.68</v>
      </c>
      <c r="K184" t="s">
        <v>17</v>
      </c>
      <c r="L184">
        <f>sneakers_streetwear_sales_data[[#This Row],[Amount ($)]]*0.2</f>
        <v>97.13600000000001</v>
      </c>
    </row>
    <row r="185" spans="1:12" x14ac:dyDescent="0.25">
      <c r="A185" s="1">
        <v>44575</v>
      </c>
      <c r="B185" t="s">
        <v>37</v>
      </c>
      <c r="C185" t="s">
        <v>29</v>
      </c>
      <c r="D185" t="s">
        <v>38</v>
      </c>
      <c r="E185" t="s">
        <v>26</v>
      </c>
      <c r="F185" t="s">
        <v>15</v>
      </c>
      <c r="G185" t="s">
        <v>33</v>
      </c>
      <c r="H185">
        <v>3</v>
      </c>
      <c r="I185">
        <v>161.55000000000001</v>
      </c>
      <c r="J185">
        <v>484.65</v>
      </c>
      <c r="K185" t="s">
        <v>35</v>
      </c>
      <c r="L185">
        <f>sneakers_streetwear_sales_data[[#This Row],[Amount ($)]]*0.2</f>
        <v>96.93</v>
      </c>
    </row>
    <row r="186" spans="1:12" x14ac:dyDescent="0.25">
      <c r="A186" s="1">
        <v>44592</v>
      </c>
      <c r="B186" t="s">
        <v>41</v>
      </c>
      <c r="C186" t="s">
        <v>29</v>
      </c>
      <c r="D186" t="s">
        <v>42</v>
      </c>
      <c r="E186" t="s">
        <v>26</v>
      </c>
      <c r="F186" t="s">
        <v>32</v>
      </c>
      <c r="G186" t="s">
        <v>27</v>
      </c>
      <c r="H186">
        <v>2</v>
      </c>
      <c r="I186">
        <v>240.23</v>
      </c>
      <c r="J186">
        <v>480.46</v>
      </c>
      <c r="K186" t="s">
        <v>23</v>
      </c>
      <c r="L186">
        <f>sneakers_streetwear_sales_data[[#This Row],[Amount ($)]]*0.2</f>
        <v>96.091999999999999</v>
      </c>
    </row>
    <row r="187" spans="1:12" x14ac:dyDescent="0.25">
      <c r="A187" s="1">
        <v>44569</v>
      </c>
      <c r="B187" t="s">
        <v>31</v>
      </c>
      <c r="C187" t="s">
        <v>19</v>
      </c>
      <c r="D187" t="s">
        <v>25</v>
      </c>
      <c r="E187" t="s">
        <v>14</v>
      </c>
      <c r="F187" t="s">
        <v>15</v>
      </c>
      <c r="G187" t="s">
        <v>34</v>
      </c>
      <c r="H187">
        <v>4</v>
      </c>
      <c r="I187">
        <v>119.36</v>
      </c>
      <c r="J187">
        <v>477.44</v>
      </c>
      <c r="K187" t="s">
        <v>23</v>
      </c>
      <c r="L187">
        <f>sneakers_streetwear_sales_data[[#This Row],[Amount ($)]]*0.2</f>
        <v>95.488</v>
      </c>
    </row>
    <row r="188" spans="1:12" x14ac:dyDescent="0.25">
      <c r="A188" s="1">
        <v>44796</v>
      </c>
      <c r="B188" t="s">
        <v>37</v>
      </c>
      <c r="C188" t="s">
        <v>29</v>
      </c>
      <c r="D188" t="s">
        <v>38</v>
      </c>
      <c r="E188" t="s">
        <v>30</v>
      </c>
      <c r="F188" t="s">
        <v>32</v>
      </c>
      <c r="G188" t="s">
        <v>39</v>
      </c>
      <c r="H188">
        <v>2</v>
      </c>
      <c r="I188">
        <v>237.1</v>
      </c>
      <c r="J188">
        <v>474.2</v>
      </c>
      <c r="K188" t="s">
        <v>23</v>
      </c>
      <c r="L188">
        <f>sneakers_streetwear_sales_data[[#This Row],[Amount ($)]]*0.2</f>
        <v>94.84</v>
      </c>
    </row>
    <row r="189" spans="1:12" x14ac:dyDescent="0.25">
      <c r="A189" s="1">
        <v>44659</v>
      </c>
      <c r="B189" t="s">
        <v>31</v>
      </c>
      <c r="C189" t="s">
        <v>19</v>
      </c>
      <c r="D189" t="s">
        <v>25</v>
      </c>
      <c r="E189" t="s">
        <v>30</v>
      </c>
      <c r="F189" t="s">
        <v>32</v>
      </c>
      <c r="G189" t="s">
        <v>43</v>
      </c>
      <c r="H189">
        <v>5</v>
      </c>
      <c r="I189">
        <v>94.25</v>
      </c>
      <c r="J189">
        <v>471.25</v>
      </c>
      <c r="K189" t="s">
        <v>36</v>
      </c>
      <c r="L189">
        <f>sneakers_streetwear_sales_data[[#This Row],[Amount ($)]]*0.2</f>
        <v>94.25</v>
      </c>
    </row>
    <row r="190" spans="1:12" x14ac:dyDescent="0.25">
      <c r="A190" s="1">
        <v>44755</v>
      </c>
      <c r="B190" t="s">
        <v>44</v>
      </c>
      <c r="C190" t="s">
        <v>19</v>
      </c>
      <c r="D190" t="s">
        <v>20</v>
      </c>
      <c r="E190" t="s">
        <v>26</v>
      </c>
      <c r="F190" t="s">
        <v>15</v>
      </c>
      <c r="G190" t="s">
        <v>39</v>
      </c>
      <c r="H190">
        <v>4</v>
      </c>
      <c r="I190">
        <v>117.78</v>
      </c>
      <c r="J190">
        <v>471.12</v>
      </c>
      <c r="K190" t="s">
        <v>35</v>
      </c>
      <c r="L190">
        <f>sneakers_streetwear_sales_data[[#This Row],[Amount ($)]]*0.2</f>
        <v>94.224000000000004</v>
      </c>
    </row>
    <row r="191" spans="1:12" x14ac:dyDescent="0.25">
      <c r="A191" s="1">
        <v>44759</v>
      </c>
      <c r="B191" t="s">
        <v>24</v>
      </c>
      <c r="C191" t="s">
        <v>19</v>
      </c>
      <c r="D191" t="s">
        <v>25</v>
      </c>
      <c r="E191" t="s">
        <v>14</v>
      </c>
      <c r="F191" t="s">
        <v>21</v>
      </c>
      <c r="G191" t="s">
        <v>39</v>
      </c>
      <c r="H191">
        <v>3</v>
      </c>
      <c r="I191">
        <v>156.27000000000001</v>
      </c>
      <c r="J191">
        <v>468.81</v>
      </c>
      <c r="K191" t="s">
        <v>35</v>
      </c>
      <c r="L191">
        <f>sneakers_streetwear_sales_data[[#This Row],[Amount ($)]]*0.2</f>
        <v>93.762</v>
      </c>
    </row>
    <row r="192" spans="1:12" x14ac:dyDescent="0.25">
      <c r="A192" s="1">
        <v>44578</v>
      </c>
      <c r="B192" t="s">
        <v>28</v>
      </c>
      <c r="C192" t="s">
        <v>29</v>
      </c>
      <c r="D192" t="s">
        <v>25</v>
      </c>
      <c r="E192" t="s">
        <v>30</v>
      </c>
      <c r="F192" t="s">
        <v>32</v>
      </c>
      <c r="G192" t="s">
        <v>27</v>
      </c>
      <c r="H192">
        <v>3</v>
      </c>
      <c r="I192">
        <v>156.22</v>
      </c>
      <c r="J192">
        <v>468.66</v>
      </c>
      <c r="K192" t="s">
        <v>36</v>
      </c>
      <c r="L192">
        <f>sneakers_streetwear_sales_data[[#This Row],[Amount ($)]]*0.2</f>
        <v>93.732000000000014</v>
      </c>
    </row>
    <row r="193" spans="1:12" x14ac:dyDescent="0.25">
      <c r="A193" s="1">
        <v>44782</v>
      </c>
      <c r="B193" t="s">
        <v>41</v>
      </c>
      <c r="C193" t="s">
        <v>29</v>
      </c>
      <c r="D193" t="s">
        <v>42</v>
      </c>
      <c r="E193" t="s">
        <v>26</v>
      </c>
      <c r="F193" t="s">
        <v>21</v>
      </c>
      <c r="G193" t="s">
        <v>43</v>
      </c>
      <c r="H193">
        <v>3</v>
      </c>
      <c r="I193">
        <v>154.79</v>
      </c>
      <c r="J193">
        <v>464.37</v>
      </c>
      <c r="K193" t="s">
        <v>17</v>
      </c>
      <c r="L193">
        <f>sneakers_streetwear_sales_data[[#This Row],[Amount ($)]]*0.2</f>
        <v>92.874000000000009</v>
      </c>
    </row>
    <row r="194" spans="1:12" x14ac:dyDescent="0.25">
      <c r="A194" s="1">
        <v>44713</v>
      </c>
      <c r="B194" t="s">
        <v>11</v>
      </c>
      <c r="C194" t="s">
        <v>12</v>
      </c>
      <c r="D194" t="s">
        <v>13</v>
      </c>
      <c r="E194" t="s">
        <v>26</v>
      </c>
      <c r="F194" t="s">
        <v>21</v>
      </c>
      <c r="G194" t="s">
        <v>34</v>
      </c>
      <c r="H194">
        <v>3</v>
      </c>
      <c r="I194">
        <v>153.82</v>
      </c>
      <c r="J194">
        <v>461.46</v>
      </c>
      <c r="K194" t="s">
        <v>23</v>
      </c>
      <c r="L194">
        <f>sneakers_streetwear_sales_data[[#This Row],[Amount ($)]]*0.2</f>
        <v>92.292000000000002</v>
      </c>
    </row>
    <row r="195" spans="1:12" x14ac:dyDescent="0.25">
      <c r="A195" s="1">
        <v>44694</v>
      </c>
      <c r="B195" t="s">
        <v>37</v>
      </c>
      <c r="C195" t="s">
        <v>29</v>
      </c>
      <c r="D195" t="s">
        <v>38</v>
      </c>
      <c r="E195" t="s">
        <v>26</v>
      </c>
      <c r="F195" t="s">
        <v>40</v>
      </c>
      <c r="G195" t="s">
        <v>34</v>
      </c>
      <c r="H195">
        <v>5</v>
      </c>
      <c r="I195">
        <v>91.11</v>
      </c>
      <c r="J195">
        <v>455.55</v>
      </c>
      <c r="K195" t="s">
        <v>23</v>
      </c>
      <c r="L195">
        <f>sneakers_streetwear_sales_data[[#This Row],[Amount ($)]]*0.2</f>
        <v>91.110000000000014</v>
      </c>
    </row>
    <row r="196" spans="1:12" x14ac:dyDescent="0.25">
      <c r="A196" s="1">
        <v>44590</v>
      </c>
      <c r="B196" t="s">
        <v>18</v>
      </c>
      <c r="C196" t="s">
        <v>19</v>
      </c>
      <c r="D196" t="s">
        <v>20</v>
      </c>
      <c r="E196" t="s">
        <v>30</v>
      </c>
      <c r="F196" t="s">
        <v>15</v>
      </c>
      <c r="G196" t="s">
        <v>33</v>
      </c>
      <c r="H196">
        <v>4</v>
      </c>
      <c r="I196">
        <v>113.75</v>
      </c>
      <c r="J196">
        <v>455</v>
      </c>
      <c r="K196" t="s">
        <v>36</v>
      </c>
      <c r="L196">
        <f>sneakers_streetwear_sales_data[[#This Row],[Amount ($)]]*0.2</f>
        <v>91</v>
      </c>
    </row>
    <row r="197" spans="1:12" x14ac:dyDescent="0.25">
      <c r="A197" s="1">
        <v>44627</v>
      </c>
      <c r="B197" t="s">
        <v>37</v>
      </c>
      <c r="C197" t="s">
        <v>29</v>
      </c>
      <c r="D197" t="s">
        <v>38</v>
      </c>
      <c r="E197" t="s">
        <v>30</v>
      </c>
      <c r="F197" t="s">
        <v>40</v>
      </c>
      <c r="G197" t="s">
        <v>39</v>
      </c>
      <c r="H197">
        <v>5</v>
      </c>
      <c r="I197">
        <v>89.84</v>
      </c>
      <c r="J197">
        <v>449.2</v>
      </c>
      <c r="K197" t="s">
        <v>36</v>
      </c>
      <c r="L197">
        <f>sneakers_streetwear_sales_data[[#This Row],[Amount ($)]]*0.2</f>
        <v>89.84</v>
      </c>
    </row>
    <row r="198" spans="1:12" x14ac:dyDescent="0.25">
      <c r="A198" s="1">
        <v>44706</v>
      </c>
      <c r="B198" t="s">
        <v>41</v>
      </c>
      <c r="C198" t="s">
        <v>29</v>
      </c>
      <c r="D198" t="s">
        <v>42</v>
      </c>
      <c r="E198" t="s">
        <v>30</v>
      </c>
      <c r="F198" t="s">
        <v>21</v>
      </c>
      <c r="G198" t="s">
        <v>16</v>
      </c>
      <c r="H198">
        <v>3</v>
      </c>
      <c r="I198">
        <v>149.51</v>
      </c>
      <c r="J198">
        <v>448.53</v>
      </c>
      <c r="K198" t="s">
        <v>23</v>
      </c>
      <c r="L198">
        <f>sneakers_streetwear_sales_data[[#This Row],[Amount ($)]]*0.2</f>
        <v>89.706000000000003</v>
      </c>
    </row>
    <row r="199" spans="1:12" x14ac:dyDescent="0.25">
      <c r="A199" s="1">
        <v>44723</v>
      </c>
      <c r="B199" t="s">
        <v>44</v>
      </c>
      <c r="C199" t="s">
        <v>19</v>
      </c>
      <c r="D199" t="s">
        <v>20</v>
      </c>
      <c r="E199" t="s">
        <v>30</v>
      </c>
      <c r="F199" t="s">
        <v>21</v>
      </c>
      <c r="G199" t="s">
        <v>27</v>
      </c>
      <c r="H199">
        <v>2</v>
      </c>
      <c r="I199">
        <v>223</v>
      </c>
      <c r="J199">
        <v>446</v>
      </c>
      <c r="K199" t="s">
        <v>23</v>
      </c>
      <c r="L199">
        <f>sneakers_streetwear_sales_data[[#This Row],[Amount ($)]]*0.2</f>
        <v>89.2</v>
      </c>
    </row>
    <row r="200" spans="1:12" x14ac:dyDescent="0.25">
      <c r="A200" s="1">
        <v>44626</v>
      </c>
      <c r="B200" t="s">
        <v>11</v>
      </c>
      <c r="C200" t="s">
        <v>12</v>
      </c>
      <c r="D200" t="s">
        <v>13</v>
      </c>
      <c r="E200" t="s">
        <v>30</v>
      </c>
      <c r="F200" t="s">
        <v>21</v>
      </c>
      <c r="G200" t="s">
        <v>16</v>
      </c>
      <c r="H200">
        <v>2</v>
      </c>
      <c r="I200">
        <v>222.08</v>
      </c>
      <c r="J200">
        <v>444.16</v>
      </c>
      <c r="K200" t="s">
        <v>35</v>
      </c>
      <c r="L200">
        <f>sneakers_streetwear_sales_data[[#This Row],[Amount ($)]]*0.2</f>
        <v>88.832000000000008</v>
      </c>
    </row>
    <row r="201" spans="1:12" x14ac:dyDescent="0.25">
      <c r="A201" s="1">
        <v>44630</v>
      </c>
      <c r="B201" t="s">
        <v>28</v>
      </c>
      <c r="C201" t="s">
        <v>29</v>
      </c>
      <c r="D201" t="s">
        <v>25</v>
      </c>
      <c r="E201" t="s">
        <v>26</v>
      </c>
      <c r="F201" t="s">
        <v>40</v>
      </c>
      <c r="G201" t="s">
        <v>34</v>
      </c>
      <c r="H201">
        <v>2</v>
      </c>
      <c r="I201">
        <v>218.25</v>
      </c>
      <c r="J201">
        <v>436.5</v>
      </c>
      <c r="K201" t="s">
        <v>36</v>
      </c>
      <c r="L201">
        <f>sneakers_streetwear_sales_data[[#This Row],[Amount ($)]]*0.2</f>
        <v>87.300000000000011</v>
      </c>
    </row>
    <row r="202" spans="1:12" x14ac:dyDescent="0.25">
      <c r="A202" s="1">
        <v>44803</v>
      </c>
      <c r="B202" t="s">
        <v>24</v>
      </c>
      <c r="C202" t="s">
        <v>19</v>
      </c>
      <c r="D202" t="s">
        <v>25</v>
      </c>
      <c r="E202" t="s">
        <v>26</v>
      </c>
      <c r="F202" t="s">
        <v>15</v>
      </c>
      <c r="G202" t="s">
        <v>39</v>
      </c>
      <c r="H202">
        <v>2</v>
      </c>
      <c r="I202">
        <v>216.83</v>
      </c>
      <c r="J202">
        <v>433.66</v>
      </c>
      <c r="K202" t="s">
        <v>35</v>
      </c>
      <c r="L202">
        <f>sneakers_streetwear_sales_data[[#This Row],[Amount ($)]]*0.2</f>
        <v>86.732000000000014</v>
      </c>
    </row>
    <row r="203" spans="1:12" x14ac:dyDescent="0.25">
      <c r="A203" s="1">
        <v>44659</v>
      </c>
      <c r="B203" t="s">
        <v>45</v>
      </c>
      <c r="C203" t="s">
        <v>46</v>
      </c>
      <c r="D203" t="s">
        <v>47</v>
      </c>
      <c r="E203" t="s">
        <v>30</v>
      </c>
      <c r="F203" t="s">
        <v>15</v>
      </c>
      <c r="G203" t="s">
        <v>34</v>
      </c>
      <c r="H203">
        <v>4</v>
      </c>
      <c r="I203">
        <v>107.31</v>
      </c>
      <c r="J203">
        <v>429.24</v>
      </c>
      <c r="K203" t="s">
        <v>35</v>
      </c>
      <c r="L203">
        <f>sneakers_streetwear_sales_data[[#This Row],[Amount ($)]]*0.2</f>
        <v>85.848000000000013</v>
      </c>
    </row>
    <row r="204" spans="1:12" x14ac:dyDescent="0.25">
      <c r="A204" s="1">
        <v>44644</v>
      </c>
      <c r="B204" t="s">
        <v>48</v>
      </c>
      <c r="C204" t="s">
        <v>49</v>
      </c>
      <c r="D204" t="s">
        <v>50</v>
      </c>
      <c r="E204" t="s">
        <v>14</v>
      </c>
      <c r="F204" t="s">
        <v>21</v>
      </c>
      <c r="G204" t="s">
        <v>27</v>
      </c>
      <c r="H204">
        <v>2</v>
      </c>
      <c r="I204">
        <v>212.76</v>
      </c>
      <c r="J204">
        <v>425.52</v>
      </c>
      <c r="K204" t="s">
        <v>36</v>
      </c>
      <c r="L204">
        <f>sneakers_streetwear_sales_data[[#This Row],[Amount ($)]]*0.2</f>
        <v>85.103999999999999</v>
      </c>
    </row>
    <row r="205" spans="1:12" x14ac:dyDescent="0.25">
      <c r="A205" s="1">
        <v>44619</v>
      </c>
      <c r="B205" t="s">
        <v>48</v>
      </c>
      <c r="C205" t="s">
        <v>49</v>
      </c>
      <c r="D205" t="s">
        <v>50</v>
      </c>
      <c r="E205" t="s">
        <v>26</v>
      </c>
      <c r="F205" t="s">
        <v>32</v>
      </c>
      <c r="G205" t="s">
        <v>16</v>
      </c>
      <c r="H205">
        <v>5</v>
      </c>
      <c r="I205">
        <v>85.1</v>
      </c>
      <c r="J205">
        <v>425.5</v>
      </c>
      <c r="K205" t="s">
        <v>23</v>
      </c>
      <c r="L205">
        <f>sneakers_streetwear_sales_data[[#This Row],[Amount ($)]]*0.2</f>
        <v>85.100000000000009</v>
      </c>
    </row>
    <row r="206" spans="1:12" x14ac:dyDescent="0.25">
      <c r="A206" s="1">
        <v>44749</v>
      </c>
      <c r="B206" t="s">
        <v>48</v>
      </c>
      <c r="C206" t="s">
        <v>49</v>
      </c>
      <c r="D206" t="s">
        <v>50</v>
      </c>
      <c r="E206" t="s">
        <v>14</v>
      </c>
      <c r="F206" t="s">
        <v>21</v>
      </c>
      <c r="G206" t="s">
        <v>39</v>
      </c>
      <c r="H206">
        <v>2</v>
      </c>
      <c r="I206">
        <v>210.77</v>
      </c>
      <c r="J206">
        <v>421.54</v>
      </c>
      <c r="K206" t="s">
        <v>17</v>
      </c>
      <c r="L206">
        <f>sneakers_streetwear_sales_data[[#This Row],[Amount ($)]]*0.2</f>
        <v>84.308000000000007</v>
      </c>
    </row>
    <row r="207" spans="1:12" x14ac:dyDescent="0.25">
      <c r="A207" s="1">
        <v>44688</v>
      </c>
      <c r="B207" t="s">
        <v>18</v>
      </c>
      <c r="C207" t="s">
        <v>19</v>
      </c>
      <c r="D207" t="s">
        <v>20</v>
      </c>
      <c r="E207" t="s">
        <v>14</v>
      </c>
      <c r="F207" t="s">
        <v>21</v>
      </c>
      <c r="G207" t="s">
        <v>33</v>
      </c>
      <c r="H207">
        <v>2</v>
      </c>
      <c r="I207">
        <v>209.81</v>
      </c>
      <c r="J207">
        <v>419.62</v>
      </c>
      <c r="K207" t="s">
        <v>17</v>
      </c>
      <c r="L207">
        <f>sneakers_streetwear_sales_data[[#This Row],[Amount ($)]]*0.2</f>
        <v>83.924000000000007</v>
      </c>
    </row>
    <row r="208" spans="1:12" x14ac:dyDescent="0.25">
      <c r="A208" s="1">
        <v>44742</v>
      </c>
      <c r="B208" t="s">
        <v>31</v>
      </c>
      <c r="C208" t="s">
        <v>19</v>
      </c>
      <c r="D208" t="s">
        <v>25</v>
      </c>
      <c r="E208" t="s">
        <v>14</v>
      </c>
      <c r="F208" t="s">
        <v>40</v>
      </c>
      <c r="G208" t="s">
        <v>43</v>
      </c>
      <c r="H208">
        <v>5</v>
      </c>
      <c r="I208">
        <v>81.97</v>
      </c>
      <c r="J208">
        <v>409.85</v>
      </c>
      <c r="K208" t="s">
        <v>23</v>
      </c>
      <c r="L208">
        <f>sneakers_streetwear_sales_data[[#This Row],[Amount ($)]]*0.2</f>
        <v>81.970000000000013</v>
      </c>
    </row>
    <row r="209" spans="1:12" x14ac:dyDescent="0.25">
      <c r="A209" s="1">
        <v>44629</v>
      </c>
      <c r="B209" t="s">
        <v>45</v>
      </c>
      <c r="C209" t="s">
        <v>46</v>
      </c>
      <c r="D209" t="s">
        <v>47</v>
      </c>
      <c r="E209" t="s">
        <v>30</v>
      </c>
      <c r="F209" t="s">
        <v>32</v>
      </c>
      <c r="G209" t="s">
        <v>43</v>
      </c>
      <c r="H209">
        <v>3</v>
      </c>
      <c r="I209">
        <v>136.36000000000001</v>
      </c>
      <c r="J209">
        <v>409.08</v>
      </c>
      <c r="K209" t="s">
        <v>17</v>
      </c>
      <c r="L209">
        <f>sneakers_streetwear_sales_data[[#This Row],[Amount ($)]]*0.2</f>
        <v>81.816000000000003</v>
      </c>
    </row>
    <row r="210" spans="1:12" x14ac:dyDescent="0.25">
      <c r="A210" s="1">
        <v>44616</v>
      </c>
      <c r="B210" t="s">
        <v>24</v>
      </c>
      <c r="C210" t="s">
        <v>19</v>
      </c>
      <c r="D210" t="s">
        <v>25</v>
      </c>
      <c r="E210" t="s">
        <v>26</v>
      </c>
      <c r="F210" t="s">
        <v>40</v>
      </c>
      <c r="G210" t="s">
        <v>22</v>
      </c>
      <c r="H210">
        <v>2</v>
      </c>
      <c r="I210">
        <v>203.05</v>
      </c>
      <c r="J210">
        <v>406.1</v>
      </c>
      <c r="K210" t="s">
        <v>23</v>
      </c>
      <c r="L210">
        <f>sneakers_streetwear_sales_data[[#This Row],[Amount ($)]]*0.2</f>
        <v>81.220000000000013</v>
      </c>
    </row>
    <row r="211" spans="1:12" x14ac:dyDescent="0.25">
      <c r="A211" s="1">
        <v>44777</v>
      </c>
      <c r="B211" t="s">
        <v>45</v>
      </c>
      <c r="C211" t="s">
        <v>46</v>
      </c>
      <c r="D211" t="s">
        <v>47</v>
      </c>
      <c r="E211" t="s">
        <v>26</v>
      </c>
      <c r="F211" t="s">
        <v>32</v>
      </c>
      <c r="G211" t="s">
        <v>16</v>
      </c>
      <c r="H211">
        <v>2</v>
      </c>
      <c r="I211">
        <v>202.18</v>
      </c>
      <c r="J211">
        <v>404.36</v>
      </c>
      <c r="K211" t="s">
        <v>35</v>
      </c>
      <c r="L211">
        <f>sneakers_streetwear_sales_data[[#This Row],[Amount ($)]]*0.2</f>
        <v>80.872000000000014</v>
      </c>
    </row>
    <row r="212" spans="1:12" x14ac:dyDescent="0.25">
      <c r="A212" s="1">
        <v>44783</v>
      </c>
      <c r="B212" t="s">
        <v>28</v>
      </c>
      <c r="C212" t="s">
        <v>29</v>
      </c>
      <c r="D212" t="s">
        <v>25</v>
      </c>
      <c r="E212" t="s">
        <v>30</v>
      </c>
      <c r="F212" t="s">
        <v>15</v>
      </c>
      <c r="G212" t="s">
        <v>34</v>
      </c>
      <c r="H212">
        <v>2</v>
      </c>
      <c r="I212">
        <v>195.85</v>
      </c>
      <c r="J212">
        <v>391.7</v>
      </c>
      <c r="K212" t="s">
        <v>36</v>
      </c>
      <c r="L212">
        <f>sneakers_streetwear_sales_data[[#This Row],[Amount ($)]]*0.2</f>
        <v>78.34</v>
      </c>
    </row>
    <row r="213" spans="1:12" x14ac:dyDescent="0.25">
      <c r="A213" s="1">
        <v>44632</v>
      </c>
      <c r="B213" t="s">
        <v>45</v>
      </c>
      <c r="C213" t="s">
        <v>46</v>
      </c>
      <c r="D213" t="s">
        <v>47</v>
      </c>
      <c r="E213" t="s">
        <v>14</v>
      </c>
      <c r="F213" t="s">
        <v>21</v>
      </c>
      <c r="G213" t="s">
        <v>27</v>
      </c>
      <c r="H213">
        <v>2</v>
      </c>
      <c r="I213">
        <v>195.41</v>
      </c>
      <c r="J213">
        <v>390.82</v>
      </c>
      <c r="K213" t="s">
        <v>17</v>
      </c>
      <c r="L213">
        <f>sneakers_streetwear_sales_data[[#This Row],[Amount ($)]]*0.2</f>
        <v>78.164000000000001</v>
      </c>
    </row>
    <row r="214" spans="1:12" x14ac:dyDescent="0.25">
      <c r="A214" s="1">
        <v>44745</v>
      </c>
      <c r="B214" t="s">
        <v>28</v>
      </c>
      <c r="C214" t="s">
        <v>29</v>
      </c>
      <c r="D214" t="s">
        <v>25</v>
      </c>
      <c r="E214" t="s">
        <v>30</v>
      </c>
      <c r="F214" t="s">
        <v>40</v>
      </c>
      <c r="G214" t="s">
        <v>27</v>
      </c>
      <c r="H214">
        <v>3</v>
      </c>
      <c r="I214">
        <v>129.78</v>
      </c>
      <c r="J214">
        <v>389.34</v>
      </c>
      <c r="K214" t="s">
        <v>17</v>
      </c>
      <c r="L214">
        <f>sneakers_streetwear_sales_data[[#This Row],[Amount ($)]]*0.2</f>
        <v>77.867999999999995</v>
      </c>
    </row>
    <row r="215" spans="1:12" x14ac:dyDescent="0.25">
      <c r="A215" s="1">
        <v>44784</v>
      </c>
      <c r="B215" t="s">
        <v>48</v>
      </c>
      <c r="C215" t="s">
        <v>49</v>
      </c>
      <c r="D215" t="s">
        <v>50</v>
      </c>
      <c r="E215" t="s">
        <v>30</v>
      </c>
      <c r="F215" t="s">
        <v>15</v>
      </c>
      <c r="G215" t="s">
        <v>16</v>
      </c>
      <c r="H215">
        <v>2</v>
      </c>
      <c r="I215">
        <v>194.31</v>
      </c>
      <c r="J215">
        <v>388.62</v>
      </c>
      <c r="K215" t="s">
        <v>35</v>
      </c>
      <c r="L215">
        <f>sneakers_streetwear_sales_data[[#This Row],[Amount ($)]]*0.2</f>
        <v>77.724000000000004</v>
      </c>
    </row>
    <row r="216" spans="1:12" x14ac:dyDescent="0.25">
      <c r="A216" s="1">
        <v>44779</v>
      </c>
      <c r="B216" t="s">
        <v>45</v>
      </c>
      <c r="C216" t="s">
        <v>46</v>
      </c>
      <c r="D216" t="s">
        <v>47</v>
      </c>
      <c r="E216" t="s">
        <v>30</v>
      </c>
      <c r="F216" t="s">
        <v>32</v>
      </c>
      <c r="G216" t="s">
        <v>34</v>
      </c>
      <c r="H216">
        <v>5</v>
      </c>
      <c r="I216">
        <v>77.08</v>
      </c>
      <c r="J216">
        <v>385.4</v>
      </c>
      <c r="K216" t="s">
        <v>36</v>
      </c>
      <c r="L216">
        <f>sneakers_streetwear_sales_data[[#This Row],[Amount ($)]]*0.2</f>
        <v>77.08</v>
      </c>
    </row>
    <row r="217" spans="1:12" x14ac:dyDescent="0.25">
      <c r="A217" s="1">
        <v>44741</v>
      </c>
      <c r="B217" t="s">
        <v>48</v>
      </c>
      <c r="C217" t="s">
        <v>49</v>
      </c>
      <c r="D217" t="s">
        <v>50</v>
      </c>
      <c r="E217" t="s">
        <v>30</v>
      </c>
      <c r="F217" t="s">
        <v>32</v>
      </c>
      <c r="G217" t="s">
        <v>16</v>
      </c>
      <c r="H217">
        <v>3</v>
      </c>
      <c r="I217">
        <v>127.36</v>
      </c>
      <c r="J217">
        <v>382.08</v>
      </c>
      <c r="K217" t="s">
        <v>17</v>
      </c>
      <c r="L217">
        <f>sneakers_streetwear_sales_data[[#This Row],[Amount ($)]]*0.2</f>
        <v>76.415999999999997</v>
      </c>
    </row>
    <row r="218" spans="1:12" x14ac:dyDescent="0.25">
      <c r="A218" s="1">
        <v>44667</v>
      </c>
      <c r="B218" t="s">
        <v>31</v>
      </c>
      <c r="C218" t="s">
        <v>19</v>
      </c>
      <c r="D218" t="s">
        <v>25</v>
      </c>
      <c r="E218" t="s">
        <v>26</v>
      </c>
      <c r="F218" t="s">
        <v>32</v>
      </c>
      <c r="G218" t="s">
        <v>34</v>
      </c>
      <c r="H218">
        <v>2</v>
      </c>
      <c r="I218">
        <v>188.4</v>
      </c>
      <c r="J218">
        <v>376.8</v>
      </c>
      <c r="K218" t="s">
        <v>17</v>
      </c>
      <c r="L218">
        <f>sneakers_streetwear_sales_data[[#This Row],[Amount ($)]]*0.2</f>
        <v>75.36</v>
      </c>
    </row>
    <row r="219" spans="1:12" x14ac:dyDescent="0.25">
      <c r="A219" s="1">
        <v>44584</v>
      </c>
      <c r="B219" t="s">
        <v>45</v>
      </c>
      <c r="C219" t="s">
        <v>46</v>
      </c>
      <c r="D219" t="s">
        <v>47</v>
      </c>
      <c r="E219" t="s">
        <v>26</v>
      </c>
      <c r="F219" t="s">
        <v>15</v>
      </c>
      <c r="G219" t="s">
        <v>34</v>
      </c>
      <c r="H219">
        <v>3</v>
      </c>
      <c r="I219">
        <v>125.26</v>
      </c>
      <c r="J219">
        <v>375.78</v>
      </c>
      <c r="K219" t="s">
        <v>36</v>
      </c>
      <c r="L219">
        <f>sneakers_streetwear_sales_data[[#This Row],[Amount ($)]]*0.2</f>
        <v>75.155999999999992</v>
      </c>
    </row>
    <row r="220" spans="1:12" x14ac:dyDescent="0.25">
      <c r="A220" s="1">
        <v>44798</v>
      </c>
      <c r="B220" t="s">
        <v>31</v>
      </c>
      <c r="C220" t="s">
        <v>19</v>
      </c>
      <c r="D220" t="s">
        <v>25</v>
      </c>
      <c r="E220" t="s">
        <v>26</v>
      </c>
      <c r="F220" t="s">
        <v>32</v>
      </c>
      <c r="G220" t="s">
        <v>33</v>
      </c>
      <c r="H220">
        <v>2</v>
      </c>
      <c r="I220">
        <v>184.51</v>
      </c>
      <c r="J220">
        <v>369.02</v>
      </c>
      <c r="K220" t="s">
        <v>23</v>
      </c>
      <c r="L220">
        <f>sneakers_streetwear_sales_data[[#This Row],[Amount ($)]]*0.2</f>
        <v>73.804000000000002</v>
      </c>
    </row>
    <row r="221" spans="1:12" x14ac:dyDescent="0.25">
      <c r="A221" s="1">
        <v>44564</v>
      </c>
      <c r="B221" t="s">
        <v>11</v>
      </c>
      <c r="C221" t="s">
        <v>12</v>
      </c>
      <c r="D221" t="s">
        <v>13</v>
      </c>
      <c r="E221" t="s">
        <v>14</v>
      </c>
      <c r="F221" t="s">
        <v>32</v>
      </c>
      <c r="G221" t="s">
        <v>34</v>
      </c>
      <c r="H221">
        <v>5</v>
      </c>
      <c r="I221">
        <v>73.58</v>
      </c>
      <c r="J221">
        <v>367.9</v>
      </c>
      <c r="K221" t="s">
        <v>35</v>
      </c>
      <c r="L221">
        <f>sneakers_streetwear_sales_data[[#This Row],[Amount ($)]]*0.2</f>
        <v>73.58</v>
      </c>
    </row>
    <row r="222" spans="1:12" x14ac:dyDescent="0.25">
      <c r="A222" s="1">
        <v>44632</v>
      </c>
      <c r="B222" t="s">
        <v>37</v>
      </c>
      <c r="C222" t="s">
        <v>29</v>
      </c>
      <c r="D222" t="s">
        <v>38</v>
      </c>
      <c r="E222" t="s">
        <v>14</v>
      </c>
      <c r="F222" t="s">
        <v>32</v>
      </c>
      <c r="G222" t="s">
        <v>34</v>
      </c>
      <c r="H222">
        <v>2</v>
      </c>
      <c r="I222">
        <v>183.29</v>
      </c>
      <c r="J222">
        <v>366.58</v>
      </c>
      <c r="K222" t="s">
        <v>36</v>
      </c>
      <c r="L222">
        <f>sneakers_streetwear_sales_data[[#This Row],[Amount ($)]]*0.2</f>
        <v>73.316000000000003</v>
      </c>
    </row>
    <row r="223" spans="1:12" x14ac:dyDescent="0.25">
      <c r="A223" s="1">
        <v>44621</v>
      </c>
      <c r="B223" t="s">
        <v>28</v>
      </c>
      <c r="C223" t="s">
        <v>29</v>
      </c>
      <c r="D223" t="s">
        <v>25</v>
      </c>
      <c r="E223" t="s">
        <v>14</v>
      </c>
      <c r="F223" t="s">
        <v>21</v>
      </c>
      <c r="G223" t="s">
        <v>22</v>
      </c>
      <c r="H223">
        <v>2</v>
      </c>
      <c r="I223">
        <v>179.28</v>
      </c>
      <c r="J223">
        <v>358.56</v>
      </c>
      <c r="K223" t="s">
        <v>23</v>
      </c>
      <c r="L223">
        <f>sneakers_streetwear_sales_data[[#This Row],[Amount ($)]]*0.2</f>
        <v>71.712000000000003</v>
      </c>
    </row>
    <row r="224" spans="1:12" x14ac:dyDescent="0.25">
      <c r="A224" s="1">
        <v>44680</v>
      </c>
      <c r="B224" t="s">
        <v>28</v>
      </c>
      <c r="C224" t="s">
        <v>29</v>
      </c>
      <c r="D224" t="s">
        <v>25</v>
      </c>
      <c r="E224" t="s">
        <v>30</v>
      </c>
      <c r="F224" t="s">
        <v>40</v>
      </c>
      <c r="G224" t="s">
        <v>16</v>
      </c>
      <c r="H224">
        <v>5</v>
      </c>
      <c r="I224">
        <v>71.28</v>
      </c>
      <c r="J224">
        <v>356.4</v>
      </c>
      <c r="K224" t="s">
        <v>23</v>
      </c>
      <c r="L224">
        <f>sneakers_streetwear_sales_data[[#This Row],[Amount ($)]]*0.2</f>
        <v>71.28</v>
      </c>
    </row>
    <row r="225" spans="1:12" x14ac:dyDescent="0.25">
      <c r="A225" s="1">
        <v>44700</v>
      </c>
      <c r="B225" t="s">
        <v>44</v>
      </c>
      <c r="C225" t="s">
        <v>19</v>
      </c>
      <c r="D225" t="s">
        <v>20</v>
      </c>
      <c r="E225" t="s">
        <v>30</v>
      </c>
      <c r="F225" t="s">
        <v>32</v>
      </c>
      <c r="G225" t="s">
        <v>39</v>
      </c>
      <c r="H225">
        <v>5</v>
      </c>
      <c r="I225">
        <v>71.260000000000005</v>
      </c>
      <c r="J225">
        <v>356.3</v>
      </c>
      <c r="K225" t="s">
        <v>23</v>
      </c>
      <c r="L225">
        <f>sneakers_streetwear_sales_data[[#This Row],[Amount ($)]]*0.2</f>
        <v>71.260000000000005</v>
      </c>
    </row>
    <row r="226" spans="1:12" x14ac:dyDescent="0.25">
      <c r="A226" s="1">
        <v>44751</v>
      </c>
      <c r="B226" t="s">
        <v>24</v>
      </c>
      <c r="C226" t="s">
        <v>19</v>
      </c>
      <c r="D226" t="s">
        <v>25</v>
      </c>
      <c r="E226" t="s">
        <v>30</v>
      </c>
      <c r="F226" t="s">
        <v>32</v>
      </c>
      <c r="G226" t="s">
        <v>16</v>
      </c>
      <c r="H226">
        <v>3</v>
      </c>
      <c r="I226">
        <v>118.37</v>
      </c>
      <c r="J226">
        <v>355.11</v>
      </c>
      <c r="K226" t="s">
        <v>17</v>
      </c>
      <c r="L226">
        <f>sneakers_streetwear_sales_data[[#This Row],[Amount ($)]]*0.2</f>
        <v>71.022000000000006</v>
      </c>
    </row>
    <row r="227" spans="1:12" x14ac:dyDescent="0.25">
      <c r="A227" s="1">
        <v>44798</v>
      </c>
      <c r="B227" t="s">
        <v>48</v>
      </c>
      <c r="C227" t="s">
        <v>49</v>
      </c>
      <c r="D227" t="s">
        <v>50</v>
      </c>
      <c r="E227" t="s">
        <v>30</v>
      </c>
      <c r="F227" t="s">
        <v>32</v>
      </c>
      <c r="G227" t="s">
        <v>33</v>
      </c>
      <c r="H227">
        <v>2</v>
      </c>
      <c r="I227">
        <v>176.24</v>
      </c>
      <c r="J227">
        <v>352.48</v>
      </c>
      <c r="K227" t="s">
        <v>23</v>
      </c>
      <c r="L227">
        <f>sneakers_streetwear_sales_data[[#This Row],[Amount ($)]]*0.2</f>
        <v>70.496000000000009</v>
      </c>
    </row>
    <row r="228" spans="1:12" x14ac:dyDescent="0.25">
      <c r="A228" s="1">
        <v>44783</v>
      </c>
      <c r="B228" t="s">
        <v>48</v>
      </c>
      <c r="C228" t="s">
        <v>49</v>
      </c>
      <c r="D228" t="s">
        <v>50</v>
      </c>
      <c r="E228" t="s">
        <v>26</v>
      </c>
      <c r="F228" t="s">
        <v>32</v>
      </c>
      <c r="G228" t="s">
        <v>22</v>
      </c>
      <c r="H228">
        <v>2</v>
      </c>
      <c r="I228">
        <v>175.51</v>
      </c>
      <c r="J228">
        <v>351.02</v>
      </c>
      <c r="K228" t="s">
        <v>35</v>
      </c>
      <c r="L228">
        <f>sneakers_streetwear_sales_data[[#This Row],[Amount ($)]]*0.2</f>
        <v>70.203999999999994</v>
      </c>
    </row>
    <row r="229" spans="1:12" x14ac:dyDescent="0.25">
      <c r="A229" s="1">
        <v>44628</v>
      </c>
      <c r="B229" t="s">
        <v>18</v>
      </c>
      <c r="C229" t="s">
        <v>19</v>
      </c>
      <c r="D229" t="s">
        <v>20</v>
      </c>
      <c r="E229" t="s">
        <v>14</v>
      </c>
      <c r="F229" t="s">
        <v>15</v>
      </c>
      <c r="G229" t="s">
        <v>33</v>
      </c>
      <c r="H229">
        <v>2</v>
      </c>
      <c r="I229">
        <v>175</v>
      </c>
      <c r="J229">
        <v>350</v>
      </c>
      <c r="K229" t="s">
        <v>17</v>
      </c>
      <c r="L229">
        <f>sneakers_streetwear_sales_data[[#This Row],[Amount ($)]]*0.2</f>
        <v>70</v>
      </c>
    </row>
    <row r="230" spans="1:12" x14ac:dyDescent="0.25">
      <c r="A230" s="1">
        <v>44737</v>
      </c>
      <c r="B230" t="s">
        <v>28</v>
      </c>
      <c r="C230" t="s">
        <v>29</v>
      </c>
      <c r="D230" t="s">
        <v>25</v>
      </c>
      <c r="E230" t="s">
        <v>30</v>
      </c>
      <c r="F230" t="s">
        <v>21</v>
      </c>
      <c r="G230" t="s">
        <v>34</v>
      </c>
      <c r="H230">
        <v>4</v>
      </c>
      <c r="I230">
        <v>86.13</v>
      </c>
      <c r="J230">
        <v>344.52</v>
      </c>
      <c r="K230" t="s">
        <v>35</v>
      </c>
      <c r="L230">
        <f>sneakers_streetwear_sales_data[[#This Row],[Amount ($)]]*0.2</f>
        <v>68.903999999999996</v>
      </c>
    </row>
    <row r="231" spans="1:12" x14ac:dyDescent="0.25">
      <c r="A231" s="1">
        <v>44588</v>
      </c>
      <c r="B231" t="s">
        <v>41</v>
      </c>
      <c r="C231" t="s">
        <v>29</v>
      </c>
      <c r="D231" t="s">
        <v>42</v>
      </c>
      <c r="E231" t="s">
        <v>30</v>
      </c>
      <c r="F231" t="s">
        <v>21</v>
      </c>
      <c r="G231" t="s">
        <v>27</v>
      </c>
      <c r="H231">
        <v>3</v>
      </c>
      <c r="I231">
        <v>114.29</v>
      </c>
      <c r="J231">
        <v>342.87</v>
      </c>
      <c r="K231" t="s">
        <v>35</v>
      </c>
      <c r="L231">
        <f>sneakers_streetwear_sales_data[[#This Row],[Amount ($)]]*0.2</f>
        <v>68.573999999999998</v>
      </c>
    </row>
    <row r="232" spans="1:12" x14ac:dyDescent="0.25">
      <c r="A232" s="1">
        <v>44763</v>
      </c>
      <c r="B232" t="s">
        <v>48</v>
      </c>
      <c r="C232" t="s">
        <v>49</v>
      </c>
      <c r="D232" t="s">
        <v>50</v>
      </c>
      <c r="E232" t="s">
        <v>14</v>
      </c>
      <c r="F232" t="s">
        <v>15</v>
      </c>
      <c r="G232" t="s">
        <v>39</v>
      </c>
      <c r="H232">
        <v>5</v>
      </c>
      <c r="I232">
        <v>68.52</v>
      </c>
      <c r="J232">
        <v>342.6</v>
      </c>
      <c r="K232" t="s">
        <v>35</v>
      </c>
      <c r="L232">
        <f>sneakers_streetwear_sales_data[[#This Row],[Amount ($)]]*0.2</f>
        <v>68.52000000000001</v>
      </c>
    </row>
    <row r="233" spans="1:12" x14ac:dyDescent="0.25">
      <c r="A233" s="1">
        <v>44601</v>
      </c>
      <c r="B233" t="s">
        <v>45</v>
      </c>
      <c r="C233" t="s">
        <v>46</v>
      </c>
      <c r="D233" t="s">
        <v>47</v>
      </c>
      <c r="E233" t="s">
        <v>30</v>
      </c>
      <c r="F233" t="s">
        <v>21</v>
      </c>
      <c r="G233" t="s">
        <v>39</v>
      </c>
      <c r="H233">
        <v>3</v>
      </c>
      <c r="I233">
        <v>112.98</v>
      </c>
      <c r="J233">
        <v>338.94</v>
      </c>
      <c r="K233" t="s">
        <v>36</v>
      </c>
      <c r="L233">
        <f>sneakers_streetwear_sales_data[[#This Row],[Amount ($)]]*0.2</f>
        <v>67.787999999999997</v>
      </c>
    </row>
    <row r="234" spans="1:12" x14ac:dyDescent="0.25">
      <c r="A234" s="1">
        <v>44583</v>
      </c>
      <c r="B234" t="s">
        <v>48</v>
      </c>
      <c r="C234" t="s">
        <v>49</v>
      </c>
      <c r="D234" t="s">
        <v>50</v>
      </c>
      <c r="E234" t="s">
        <v>26</v>
      </c>
      <c r="F234" t="s">
        <v>15</v>
      </c>
      <c r="G234" t="s">
        <v>33</v>
      </c>
      <c r="H234">
        <v>3</v>
      </c>
      <c r="I234">
        <v>110.78</v>
      </c>
      <c r="J234">
        <v>332.34</v>
      </c>
      <c r="K234" t="s">
        <v>23</v>
      </c>
      <c r="L234">
        <f>sneakers_streetwear_sales_data[[#This Row],[Amount ($)]]*0.2</f>
        <v>66.468000000000004</v>
      </c>
    </row>
    <row r="235" spans="1:12" x14ac:dyDescent="0.25">
      <c r="A235" s="1">
        <v>44564</v>
      </c>
      <c r="B235" t="s">
        <v>37</v>
      </c>
      <c r="C235" t="s">
        <v>29</v>
      </c>
      <c r="D235" t="s">
        <v>38</v>
      </c>
      <c r="E235" t="s">
        <v>26</v>
      </c>
      <c r="F235" t="s">
        <v>32</v>
      </c>
      <c r="G235" t="s">
        <v>22</v>
      </c>
      <c r="H235">
        <v>3</v>
      </c>
      <c r="I235">
        <v>110.2</v>
      </c>
      <c r="J235">
        <v>330.6</v>
      </c>
      <c r="K235" t="s">
        <v>17</v>
      </c>
      <c r="L235">
        <f>sneakers_streetwear_sales_data[[#This Row],[Amount ($)]]*0.2</f>
        <v>66.12</v>
      </c>
    </row>
    <row r="236" spans="1:12" x14ac:dyDescent="0.25">
      <c r="A236" s="1">
        <v>44756</v>
      </c>
      <c r="B236" t="s">
        <v>37</v>
      </c>
      <c r="C236" t="s">
        <v>29</v>
      </c>
      <c r="D236" t="s">
        <v>38</v>
      </c>
      <c r="E236" t="s">
        <v>30</v>
      </c>
      <c r="F236" t="s">
        <v>21</v>
      </c>
      <c r="G236" t="s">
        <v>39</v>
      </c>
      <c r="H236">
        <v>2</v>
      </c>
      <c r="I236">
        <v>163.32</v>
      </c>
      <c r="J236">
        <v>326.64</v>
      </c>
      <c r="K236" t="s">
        <v>35</v>
      </c>
      <c r="L236">
        <f>sneakers_streetwear_sales_data[[#This Row],[Amount ($)]]*0.2</f>
        <v>65.328000000000003</v>
      </c>
    </row>
    <row r="237" spans="1:12" x14ac:dyDescent="0.25">
      <c r="A237" s="1">
        <v>44717</v>
      </c>
      <c r="B237" t="s">
        <v>48</v>
      </c>
      <c r="C237" t="s">
        <v>49</v>
      </c>
      <c r="D237" t="s">
        <v>50</v>
      </c>
      <c r="E237" t="s">
        <v>14</v>
      </c>
      <c r="F237" t="s">
        <v>15</v>
      </c>
      <c r="G237" t="s">
        <v>27</v>
      </c>
      <c r="H237">
        <v>2</v>
      </c>
      <c r="I237">
        <v>162.47999999999999</v>
      </c>
      <c r="J237">
        <v>324.95999999999998</v>
      </c>
      <c r="K237" t="s">
        <v>23</v>
      </c>
      <c r="L237">
        <f>sneakers_streetwear_sales_data[[#This Row],[Amount ($)]]*0.2</f>
        <v>64.992000000000004</v>
      </c>
    </row>
    <row r="238" spans="1:12" x14ac:dyDescent="0.25">
      <c r="A238" s="1">
        <v>44696</v>
      </c>
      <c r="B238" t="s">
        <v>24</v>
      </c>
      <c r="C238" t="s">
        <v>19</v>
      </c>
      <c r="D238" t="s">
        <v>25</v>
      </c>
      <c r="E238" t="s">
        <v>26</v>
      </c>
      <c r="F238" t="s">
        <v>32</v>
      </c>
      <c r="G238" t="s">
        <v>34</v>
      </c>
      <c r="H238">
        <v>5</v>
      </c>
      <c r="I238">
        <v>64.66</v>
      </c>
      <c r="J238">
        <v>323.3</v>
      </c>
      <c r="K238" t="s">
        <v>17</v>
      </c>
      <c r="L238">
        <f>sneakers_streetwear_sales_data[[#This Row],[Amount ($)]]*0.2</f>
        <v>64.660000000000011</v>
      </c>
    </row>
    <row r="239" spans="1:12" x14ac:dyDescent="0.25">
      <c r="A239" s="1">
        <v>44794</v>
      </c>
      <c r="B239" t="s">
        <v>44</v>
      </c>
      <c r="C239" t="s">
        <v>19</v>
      </c>
      <c r="D239" t="s">
        <v>20</v>
      </c>
      <c r="E239" t="s">
        <v>30</v>
      </c>
      <c r="F239" t="s">
        <v>32</v>
      </c>
      <c r="G239" t="s">
        <v>16</v>
      </c>
      <c r="H239">
        <v>2</v>
      </c>
      <c r="I239">
        <v>160.44</v>
      </c>
      <c r="J239">
        <v>320.88</v>
      </c>
      <c r="K239" t="s">
        <v>35</v>
      </c>
      <c r="L239">
        <f>sneakers_streetwear_sales_data[[#This Row],[Amount ($)]]*0.2</f>
        <v>64.176000000000002</v>
      </c>
    </row>
    <row r="240" spans="1:12" x14ac:dyDescent="0.25">
      <c r="A240" s="1">
        <v>44797</v>
      </c>
      <c r="B240" t="s">
        <v>11</v>
      </c>
      <c r="C240" t="s">
        <v>12</v>
      </c>
      <c r="D240" t="s">
        <v>13</v>
      </c>
      <c r="E240" t="s">
        <v>30</v>
      </c>
      <c r="F240" t="s">
        <v>32</v>
      </c>
      <c r="G240" t="s">
        <v>43</v>
      </c>
      <c r="H240">
        <v>2</v>
      </c>
      <c r="I240">
        <v>158.69999999999999</v>
      </c>
      <c r="J240">
        <v>317.39999999999998</v>
      </c>
      <c r="K240" t="s">
        <v>36</v>
      </c>
      <c r="L240">
        <f>sneakers_streetwear_sales_data[[#This Row],[Amount ($)]]*0.2</f>
        <v>63.48</v>
      </c>
    </row>
    <row r="241" spans="1:12" x14ac:dyDescent="0.25">
      <c r="A241" s="1">
        <v>44603</v>
      </c>
      <c r="B241" t="s">
        <v>44</v>
      </c>
      <c r="C241" t="s">
        <v>19</v>
      </c>
      <c r="D241" t="s">
        <v>20</v>
      </c>
      <c r="E241" t="s">
        <v>30</v>
      </c>
      <c r="F241" t="s">
        <v>21</v>
      </c>
      <c r="G241" t="s">
        <v>33</v>
      </c>
      <c r="H241">
        <v>3</v>
      </c>
      <c r="I241">
        <v>105.79</v>
      </c>
      <c r="J241">
        <v>317.37</v>
      </c>
      <c r="K241" t="s">
        <v>36</v>
      </c>
      <c r="L241">
        <f>sneakers_streetwear_sales_data[[#This Row],[Amount ($)]]*0.2</f>
        <v>63.474000000000004</v>
      </c>
    </row>
    <row r="242" spans="1:12" x14ac:dyDescent="0.25">
      <c r="A242" s="1">
        <v>44657</v>
      </c>
      <c r="B242" t="s">
        <v>41</v>
      </c>
      <c r="C242" t="s">
        <v>29</v>
      </c>
      <c r="D242" t="s">
        <v>42</v>
      </c>
      <c r="E242" t="s">
        <v>30</v>
      </c>
      <c r="F242" t="s">
        <v>32</v>
      </c>
      <c r="G242" t="s">
        <v>34</v>
      </c>
      <c r="H242">
        <v>2</v>
      </c>
      <c r="I242">
        <v>157.12</v>
      </c>
      <c r="J242">
        <v>314.24</v>
      </c>
      <c r="K242" t="s">
        <v>17</v>
      </c>
      <c r="L242">
        <f>sneakers_streetwear_sales_data[[#This Row],[Amount ($)]]*0.2</f>
        <v>62.848000000000006</v>
      </c>
    </row>
    <row r="243" spans="1:12" x14ac:dyDescent="0.25">
      <c r="A243" s="1">
        <v>44590</v>
      </c>
      <c r="B243" t="s">
        <v>31</v>
      </c>
      <c r="C243" t="s">
        <v>19</v>
      </c>
      <c r="D243" t="s">
        <v>25</v>
      </c>
      <c r="E243" t="s">
        <v>14</v>
      </c>
      <c r="F243" t="s">
        <v>15</v>
      </c>
      <c r="G243" t="s">
        <v>43</v>
      </c>
      <c r="H243">
        <v>3</v>
      </c>
      <c r="I243">
        <v>104.04</v>
      </c>
      <c r="J243">
        <v>312.12</v>
      </c>
      <c r="K243" t="s">
        <v>23</v>
      </c>
      <c r="L243">
        <f>sneakers_streetwear_sales_data[[#This Row],[Amount ($)]]*0.2</f>
        <v>62.424000000000007</v>
      </c>
    </row>
    <row r="244" spans="1:12" x14ac:dyDescent="0.25">
      <c r="A244" s="1">
        <v>44660</v>
      </c>
      <c r="B244" t="s">
        <v>28</v>
      </c>
      <c r="C244" t="s">
        <v>29</v>
      </c>
      <c r="D244" t="s">
        <v>25</v>
      </c>
      <c r="E244" t="s">
        <v>14</v>
      </c>
      <c r="F244" t="s">
        <v>21</v>
      </c>
      <c r="G244" t="s">
        <v>39</v>
      </c>
      <c r="H244">
        <v>2</v>
      </c>
      <c r="I244">
        <v>153.75</v>
      </c>
      <c r="J244">
        <v>307.5</v>
      </c>
      <c r="K244" t="s">
        <v>23</v>
      </c>
      <c r="L244">
        <f>sneakers_streetwear_sales_data[[#This Row],[Amount ($)]]*0.2</f>
        <v>61.5</v>
      </c>
    </row>
    <row r="245" spans="1:12" x14ac:dyDescent="0.25">
      <c r="A245" s="1">
        <v>44662</v>
      </c>
      <c r="B245" t="s">
        <v>45</v>
      </c>
      <c r="C245" t="s">
        <v>46</v>
      </c>
      <c r="D245" t="s">
        <v>47</v>
      </c>
      <c r="E245" t="s">
        <v>26</v>
      </c>
      <c r="F245" t="s">
        <v>21</v>
      </c>
      <c r="G245" t="s">
        <v>22</v>
      </c>
      <c r="H245">
        <v>2</v>
      </c>
      <c r="I245">
        <v>152.54</v>
      </c>
      <c r="J245">
        <v>305.08</v>
      </c>
      <c r="K245" t="s">
        <v>17</v>
      </c>
      <c r="L245">
        <f>sneakers_streetwear_sales_data[[#This Row],[Amount ($)]]*0.2</f>
        <v>61.015999999999998</v>
      </c>
    </row>
    <row r="246" spans="1:12" x14ac:dyDescent="0.25">
      <c r="A246" s="1">
        <v>44585</v>
      </c>
      <c r="B246" t="s">
        <v>44</v>
      </c>
      <c r="C246" t="s">
        <v>19</v>
      </c>
      <c r="D246" t="s">
        <v>20</v>
      </c>
      <c r="E246" t="s">
        <v>30</v>
      </c>
      <c r="F246" t="s">
        <v>15</v>
      </c>
      <c r="G246" t="s">
        <v>22</v>
      </c>
      <c r="H246">
        <v>3</v>
      </c>
      <c r="I246">
        <v>101.39</v>
      </c>
      <c r="J246">
        <v>304.17</v>
      </c>
      <c r="K246" t="s">
        <v>23</v>
      </c>
      <c r="L246">
        <f>sneakers_streetwear_sales_data[[#This Row],[Amount ($)]]*0.2</f>
        <v>60.834000000000003</v>
      </c>
    </row>
    <row r="247" spans="1:12" x14ac:dyDescent="0.25">
      <c r="A247" s="1">
        <v>44714</v>
      </c>
      <c r="B247" t="s">
        <v>41</v>
      </c>
      <c r="C247" t="s">
        <v>29</v>
      </c>
      <c r="D247" t="s">
        <v>42</v>
      </c>
      <c r="E247" t="s">
        <v>26</v>
      </c>
      <c r="F247" t="s">
        <v>40</v>
      </c>
      <c r="G247" t="s">
        <v>33</v>
      </c>
      <c r="H247">
        <v>1</v>
      </c>
      <c r="I247">
        <v>296.56</v>
      </c>
      <c r="J247">
        <v>296.56</v>
      </c>
      <c r="K247" t="s">
        <v>35</v>
      </c>
      <c r="L247">
        <f>sneakers_streetwear_sales_data[[#This Row],[Amount ($)]]*0.2</f>
        <v>59.312000000000005</v>
      </c>
    </row>
    <row r="248" spans="1:12" x14ac:dyDescent="0.25">
      <c r="A248" s="1">
        <v>44716</v>
      </c>
      <c r="B248" t="s">
        <v>18</v>
      </c>
      <c r="C248" t="s">
        <v>19</v>
      </c>
      <c r="D248" t="s">
        <v>20</v>
      </c>
      <c r="E248" t="s">
        <v>26</v>
      </c>
      <c r="F248" t="s">
        <v>40</v>
      </c>
      <c r="G248" t="s">
        <v>33</v>
      </c>
      <c r="H248">
        <v>1</v>
      </c>
      <c r="I248">
        <v>296.51</v>
      </c>
      <c r="J248">
        <v>296.51</v>
      </c>
      <c r="K248" t="s">
        <v>36</v>
      </c>
      <c r="L248">
        <f>sneakers_streetwear_sales_data[[#This Row],[Amount ($)]]*0.2</f>
        <v>59.302</v>
      </c>
    </row>
    <row r="249" spans="1:12" x14ac:dyDescent="0.25">
      <c r="A249" s="1">
        <v>44638</v>
      </c>
      <c r="B249" t="s">
        <v>41</v>
      </c>
      <c r="C249" t="s">
        <v>29</v>
      </c>
      <c r="D249" t="s">
        <v>42</v>
      </c>
      <c r="E249" t="s">
        <v>14</v>
      </c>
      <c r="F249" t="s">
        <v>40</v>
      </c>
      <c r="G249" t="s">
        <v>39</v>
      </c>
      <c r="H249">
        <v>5</v>
      </c>
      <c r="I249">
        <v>58.65</v>
      </c>
      <c r="J249">
        <v>293.25</v>
      </c>
      <c r="K249" t="s">
        <v>35</v>
      </c>
      <c r="L249">
        <f>sneakers_streetwear_sales_data[[#This Row],[Amount ($)]]*0.2</f>
        <v>58.650000000000006</v>
      </c>
    </row>
    <row r="250" spans="1:12" x14ac:dyDescent="0.25">
      <c r="A250" s="1">
        <v>44766</v>
      </c>
      <c r="B250" t="s">
        <v>45</v>
      </c>
      <c r="C250" t="s">
        <v>46</v>
      </c>
      <c r="D250" t="s">
        <v>47</v>
      </c>
      <c r="E250" t="s">
        <v>30</v>
      </c>
      <c r="F250" t="s">
        <v>15</v>
      </c>
      <c r="G250" t="s">
        <v>16</v>
      </c>
      <c r="H250">
        <v>1</v>
      </c>
      <c r="I250">
        <v>292.68</v>
      </c>
      <c r="J250">
        <v>292.68</v>
      </c>
      <c r="K250" t="s">
        <v>35</v>
      </c>
      <c r="L250">
        <f>sneakers_streetwear_sales_data[[#This Row],[Amount ($)]]*0.2</f>
        <v>58.536000000000001</v>
      </c>
    </row>
    <row r="251" spans="1:12" x14ac:dyDescent="0.25">
      <c r="A251" s="1">
        <v>44654</v>
      </c>
      <c r="B251" t="s">
        <v>24</v>
      </c>
      <c r="C251" t="s">
        <v>19</v>
      </c>
      <c r="D251" t="s">
        <v>25</v>
      </c>
      <c r="E251" t="s">
        <v>26</v>
      </c>
      <c r="F251" t="s">
        <v>15</v>
      </c>
      <c r="G251" t="s">
        <v>27</v>
      </c>
      <c r="H251">
        <v>1</v>
      </c>
      <c r="I251">
        <v>292</v>
      </c>
      <c r="J251">
        <v>292</v>
      </c>
      <c r="K251" t="s">
        <v>23</v>
      </c>
      <c r="L251">
        <f>sneakers_streetwear_sales_data[[#This Row],[Amount ($)]]*0.2</f>
        <v>58.400000000000006</v>
      </c>
    </row>
    <row r="252" spans="1:12" x14ac:dyDescent="0.25">
      <c r="A252" s="1">
        <v>44736</v>
      </c>
      <c r="B252" t="s">
        <v>28</v>
      </c>
      <c r="C252" t="s">
        <v>29</v>
      </c>
      <c r="D252" t="s">
        <v>25</v>
      </c>
      <c r="E252" t="s">
        <v>26</v>
      </c>
      <c r="F252" t="s">
        <v>21</v>
      </c>
      <c r="G252" t="s">
        <v>43</v>
      </c>
      <c r="H252">
        <v>5</v>
      </c>
      <c r="I252">
        <v>58.37</v>
      </c>
      <c r="J252">
        <v>291.85000000000002</v>
      </c>
      <c r="K252" t="s">
        <v>35</v>
      </c>
      <c r="L252">
        <f>sneakers_streetwear_sales_data[[#This Row],[Amount ($)]]*0.2</f>
        <v>58.370000000000005</v>
      </c>
    </row>
    <row r="253" spans="1:12" x14ac:dyDescent="0.25">
      <c r="A253" s="1">
        <v>44742</v>
      </c>
      <c r="B253" t="s">
        <v>11</v>
      </c>
      <c r="C253" t="s">
        <v>12</v>
      </c>
      <c r="D253" t="s">
        <v>13</v>
      </c>
      <c r="E253" t="s">
        <v>14</v>
      </c>
      <c r="F253" t="s">
        <v>21</v>
      </c>
      <c r="G253" t="s">
        <v>34</v>
      </c>
      <c r="H253">
        <v>3</v>
      </c>
      <c r="I253">
        <v>97.21</v>
      </c>
      <c r="J253">
        <v>291.63</v>
      </c>
      <c r="K253" t="s">
        <v>23</v>
      </c>
      <c r="L253">
        <f>sneakers_streetwear_sales_data[[#This Row],[Amount ($)]]*0.2</f>
        <v>58.326000000000001</v>
      </c>
    </row>
    <row r="254" spans="1:12" x14ac:dyDescent="0.25">
      <c r="A254" s="1">
        <v>44641</v>
      </c>
      <c r="B254" t="s">
        <v>48</v>
      </c>
      <c r="C254" t="s">
        <v>49</v>
      </c>
      <c r="D254" t="s">
        <v>50</v>
      </c>
      <c r="E254" t="s">
        <v>26</v>
      </c>
      <c r="F254" t="s">
        <v>40</v>
      </c>
      <c r="G254" t="s">
        <v>27</v>
      </c>
      <c r="H254">
        <v>1</v>
      </c>
      <c r="I254">
        <v>287.44</v>
      </c>
      <c r="J254">
        <v>287.44</v>
      </c>
      <c r="K254" t="s">
        <v>35</v>
      </c>
      <c r="L254">
        <f>sneakers_streetwear_sales_data[[#This Row],[Amount ($)]]*0.2</f>
        <v>57.488</v>
      </c>
    </row>
    <row r="255" spans="1:12" x14ac:dyDescent="0.25">
      <c r="A255" s="1">
        <v>44650</v>
      </c>
      <c r="B255" t="s">
        <v>37</v>
      </c>
      <c r="C255" t="s">
        <v>29</v>
      </c>
      <c r="D255" t="s">
        <v>38</v>
      </c>
      <c r="E255" t="s">
        <v>30</v>
      </c>
      <c r="F255" t="s">
        <v>21</v>
      </c>
      <c r="G255" t="s">
        <v>34</v>
      </c>
      <c r="H255">
        <v>2</v>
      </c>
      <c r="I255">
        <v>142.25</v>
      </c>
      <c r="J255">
        <v>284.5</v>
      </c>
      <c r="K255" t="s">
        <v>35</v>
      </c>
      <c r="L255">
        <f>sneakers_streetwear_sales_data[[#This Row],[Amount ($)]]*0.2</f>
        <v>56.900000000000006</v>
      </c>
    </row>
    <row r="256" spans="1:12" x14ac:dyDescent="0.25">
      <c r="A256" s="1">
        <v>44707</v>
      </c>
      <c r="B256" t="s">
        <v>18</v>
      </c>
      <c r="C256" t="s">
        <v>19</v>
      </c>
      <c r="D256" t="s">
        <v>20</v>
      </c>
      <c r="E256" t="s">
        <v>26</v>
      </c>
      <c r="F256" t="s">
        <v>15</v>
      </c>
      <c r="G256" t="s">
        <v>22</v>
      </c>
      <c r="H256">
        <v>1</v>
      </c>
      <c r="I256">
        <v>284.3</v>
      </c>
      <c r="J256">
        <v>284.3</v>
      </c>
      <c r="K256" t="s">
        <v>17</v>
      </c>
      <c r="L256">
        <f>sneakers_streetwear_sales_data[[#This Row],[Amount ($)]]*0.2</f>
        <v>56.860000000000007</v>
      </c>
    </row>
    <row r="257" spans="1:12" x14ac:dyDescent="0.25">
      <c r="A257" s="1">
        <v>44793</v>
      </c>
      <c r="B257" t="s">
        <v>37</v>
      </c>
      <c r="C257" t="s">
        <v>29</v>
      </c>
      <c r="D257" t="s">
        <v>38</v>
      </c>
      <c r="E257" t="s">
        <v>14</v>
      </c>
      <c r="F257" t="s">
        <v>15</v>
      </c>
      <c r="G257" t="s">
        <v>22</v>
      </c>
      <c r="H257">
        <v>5</v>
      </c>
      <c r="I257">
        <v>55.8</v>
      </c>
      <c r="J257">
        <v>279</v>
      </c>
      <c r="K257" t="s">
        <v>17</v>
      </c>
      <c r="L257">
        <f>sneakers_streetwear_sales_data[[#This Row],[Amount ($)]]*0.2</f>
        <v>55.800000000000004</v>
      </c>
    </row>
    <row r="258" spans="1:12" x14ac:dyDescent="0.25">
      <c r="A258" s="1">
        <v>44676</v>
      </c>
      <c r="B258" t="s">
        <v>48</v>
      </c>
      <c r="C258" t="s">
        <v>49</v>
      </c>
      <c r="D258" t="s">
        <v>50</v>
      </c>
      <c r="E258" t="s">
        <v>30</v>
      </c>
      <c r="F258" t="s">
        <v>21</v>
      </c>
      <c r="G258" t="s">
        <v>39</v>
      </c>
      <c r="H258">
        <v>1</v>
      </c>
      <c r="I258">
        <v>276.64</v>
      </c>
      <c r="J258">
        <v>276.64</v>
      </c>
      <c r="K258" t="s">
        <v>17</v>
      </c>
      <c r="L258">
        <f>sneakers_streetwear_sales_data[[#This Row],[Amount ($)]]*0.2</f>
        <v>55.328000000000003</v>
      </c>
    </row>
    <row r="259" spans="1:12" x14ac:dyDescent="0.25">
      <c r="A259" s="1">
        <v>44641</v>
      </c>
      <c r="B259" t="s">
        <v>45</v>
      </c>
      <c r="C259" t="s">
        <v>46</v>
      </c>
      <c r="D259" t="s">
        <v>47</v>
      </c>
      <c r="E259" t="s">
        <v>30</v>
      </c>
      <c r="F259" t="s">
        <v>15</v>
      </c>
      <c r="G259" t="s">
        <v>33</v>
      </c>
      <c r="H259">
        <v>4</v>
      </c>
      <c r="I259">
        <v>68.97</v>
      </c>
      <c r="J259">
        <v>275.88</v>
      </c>
      <c r="K259" t="s">
        <v>17</v>
      </c>
      <c r="L259">
        <f>sneakers_streetwear_sales_data[[#This Row],[Amount ($)]]*0.2</f>
        <v>55.176000000000002</v>
      </c>
    </row>
    <row r="260" spans="1:12" x14ac:dyDescent="0.25">
      <c r="A260" s="1">
        <v>44769</v>
      </c>
      <c r="B260" t="s">
        <v>41</v>
      </c>
      <c r="C260" t="s">
        <v>29</v>
      </c>
      <c r="D260" t="s">
        <v>42</v>
      </c>
      <c r="E260" t="s">
        <v>26</v>
      </c>
      <c r="F260" t="s">
        <v>15</v>
      </c>
      <c r="G260" t="s">
        <v>33</v>
      </c>
      <c r="H260">
        <v>5</v>
      </c>
      <c r="I260">
        <v>54.88</v>
      </c>
      <c r="J260">
        <v>274.39999999999998</v>
      </c>
      <c r="K260" t="s">
        <v>36</v>
      </c>
      <c r="L260">
        <f>sneakers_streetwear_sales_data[[#This Row],[Amount ($)]]*0.2</f>
        <v>54.879999999999995</v>
      </c>
    </row>
    <row r="261" spans="1:12" x14ac:dyDescent="0.25">
      <c r="A261" s="1">
        <v>44710</v>
      </c>
      <c r="B261" t="s">
        <v>37</v>
      </c>
      <c r="C261" t="s">
        <v>29</v>
      </c>
      <c r="D261" t="s">
        <v>38</v>
      </c>
      <c r="E261" t="s">
        <v>30</v>
      </c>
      <c r="F261" t="s">
        <v>21</v>
      </c>
      <c r="G261" t="s">
        <v>27</v>
      </c>
      <c r="H261">
        <v>4</v>
      </c>
      <c r="I261">
        <v>68.180000000000007</v>
      </c>
      <c r="J261">
        <v>272.72000000000003</v>
      </c>
      <c r="K261" t="s">
        <v>23</v>
      </c>
      <c r="L261">
        <f>sneakers_streetwear_sales_data[[#This Row],[Amount ($)]]*0.2</f>
        <v>54.544000000000011</v>
      </c>
    </row>
    <row r="262" spans="1:12" x14ac:dyDescent="0.25">
      <c r="A262" s="1">
        <v>44686</v>
      </c>
      <c r="B262" t="s">
        <v>37</v>
      </c>
      <c r="C262" t="s">
        <v>29</v>
      </c>
      <c r="D262" t="s">
        <v>38</v>
      </c>
      <c r="E262" t="s">
        <v>30</v>
      </c>
      <c r="F262" t="s">
        <v>21</v>
      </c>
      <c r="G262" t="s">
        <v>34</v>
      </c>
      <c r="H262">
        <v>1</v>
      </c>
      <c r="I262">
        <v>271.44</v>
      </c>
      <c r="J262">
        <v>271.44</v>
      </c>
      <c r="K262" t="s">
        <v>23</v>
      </c>
      <c r="L262">
        <f>sneakers_streetwear_sales_data[[#This Row],[Amount ($)]]*0.2</f>
        <v>54.288000000000004</v>
      </c>
    </row>
    <row r="263" spans="1:12" x14ac:dyDescent="0.25">
      <c r="A263" s="1">
        <v>44645</v>
      </c>
      <c r="B263" t="s">
        <v>11</v>
      </c>
      <c r="C263" t="s">
        <v>12</v>
      </c>
      <c r="D263" t="s">
        <v>13</v>
      </c>
      <c r="E263" t="s">
        <v>14</v>
      </c>
      <c r="F263" t="s">
        <v>21</v>
      </c>
      <c r="G263" t="s">
        <v>33</v>
      </c>
      <c r="H263">
        <v>1</v>
      </c>
      <c r="I263">
        <v>271.18</v>
      </c>
      <c r="J263">
        <v>271.18</v>
      </c>
      <c r="K263" t="s">
        <v>23</v>
      </c>
      <c r="L263">
        <f>sneakers_streetwear_sales_data[[#This Row],[Amount ($)]]*0.2</f>
        <v>54.236000000000004</v>
      </c>
    </row>
    <row r="264" spans="1:12" x14ac:dyDescent="0.25">
      <c r="A264" s="1">
        <v>44621</v>
      </c>
      <c r="B264" t="s">
        <v>37</v>
      </c>
      <c r="C264" t="s">
        <v>29</v>
      </c>
      <c r="D264" t="s">
        <v>38</v>
      </c>
      <c r="E264" t="s">
        <v>14</v>
      </c>
      <c r="F264" t="s">
        <v>15</v>
      </c>
      <c r="G264" t="s">
        <v>22</v>
      </c>
      <c r="H264">
        <v>2</v>
      </c>
      <c r="I264">
        <v>135.47999999999999</v>
      </c>
      <c r="J264">
        <v>270.95999999999998</v>
      </c>
      <c r="K264" t="s">
        <v>23</v>
      </c>
      <c r="L264">
        <f>sneakers_streetwear_sales_data[[#This Row],[Amount ($)]]*0.2</f>
        <v>54.192</v>
      </c>
    </row>
    <row r="265" spans="1:12" x14ac:dyDescent="0.25">
      <c r="A265" s="1">
        <v>44604</v>
      </c>
      <c r="B265" t="s">
        <v>18</v>
      </c>
      <c r="C265" t="s">
        <v>19</v>
      </c>
      <c r="D265" t="s">
        <v>20</v>
      </c>
      <c r="E265" t="s">
        <v>30</v>
      </c>
      <c r="F265" t="s">
        <v>32</v>
      </c>
      <c r="G265" t="s">
        <v>34</v>
      </c>
      <c r="H265">
        <v>3</v>
      </c>
      <c r="I265">
        <v>90.19</v>
      </c>
      <c r="J265">
        <v>270.57</v>
      </c>
      <c r="K265" t="s">
        <v>23</v>
      </c>
      <c r="L265">
        <f>sneakers_streetwear_sales_data[[#This Row],[Amount ($)]]*0.2</f>
        <v>54.114000000000004</v>
      </c>
    </row>
    <row r="266" spans="1:12" x14ac:dyDescent="0.25">
      <c r="A266" s="1">
        <v>44768</v>
      </c>
      <c r="B266" t="s">
        <v>18</v>
      </c>
      <c r="C266" t="s">
        <v>19</v>
      </c>
      <c r="D266" t="s">
        <v>20</v>
      </c>
      <c r="E266" t="s">
        <v>26</v>
      </c>
      <c r="F266" t="s">
        <v>15</v>
      </c>
      <c r="G266" t="s">
        <v>39</v>
      </c>
      <c r="H266">
        <v>2</v>
      </c>
      <c r="I266">
        <v>134.38999999999999</v>
      </c>
      <c r="J266">
        <v>268.77999999999997</v>
      </c>
      <c r="K266" t="s">
        <v>23</v>
      </c>
      <c r="L266">
        <f>sneakers_streetwear_sales_data[[#This Row],[Amount ($)]]*0.2</f>
        <v>53.756</v>
      </c>
    </row>
    <row r="267" spans="1:12" x14ac:dyDescent="0.25">
      <c r="A267" s="1">
        <v>44622</v>
      </c>
      <c r="B267" t="s">
        <v>48</v>
      </c>
      <c r="C267" t="s">
        <v>49</v>
      </c>
      <c r="D267" t="s">
        <v>50</v>
      </c>
      <c r="E267" t="s">
        <v>26</v>
      </c>
      <c r="F267" t="s">
        <v>32</v>
      </c>
      <c r="G267" t="s">
        <v>16</v>
      </c>
      <c r="H267">
        <v>3</v>
      </c>
      <c r="I267">
        <v>87.81</v>
      </c>
      <c r="J267">
        <v>263.43</v>
      </c>
      <c r="K267" t="s">
        <v>17</v>
      </c>
      <c r="L267">
        <f>sneakers_streetwear_sales_data[[#This Row],[Amount ($)]]*0.2</f>
        <v>52.686000000000007</v>
      </c>
    </row>
    <row r="268" spans="1:12" x14ac:dyDescent="0.25">
      <c r="A268" s="1">
        <v>44577</v>
      </c>
      <c r="B268" t="s">
        <v>37</v>
      </c>
      <c r="C268" t="s">
        <v>29</v>
      </c>
      <c r="D268" t="s">
        <v>38</v>
      </c>
      <c r="E268" t="s">
        <v>26</v>
      </c>
      <c r="F268" t="s">
        <v>40</v>
      </c>
      <c r="G268" t="s">
        <v>39</v>
      </c>
      <c r="H268">
        <v>2</v>
      </c>
      <c r="I268">
        <v>130.4</v>
      </c>
      <c r="J268">
        <v>260.8</v>
      </c>
      <c r="K268" t="s">
        <v>23</v>
      </c>
      <c r="L268">
        <f>sneakers_streetwear_sales_data[[#This Row],[Amount ($)]]*0.2</f>
        <v>52.160000000000004</v>
      </c>
    </row>
    <row r="269" spans="1:12" x14ac:dyDescent="0.25">
      <c r="A269" s="1">
        <v>44568</v>
      </c>
      <c r="B269" t="s">
        <v>48</v>
      </c>
      <c r="C269" t="s">
        <v>49</v>
      </c>
      <c r="D269" t="s">
        <v>50</v>
      </c>
      <c r="E269" t="s">
        <v>26</v>
      </c>
      <c r="F269" t="s">
        <v>15</v>
      </c>
      <c r="G269" t="s">
        <v>34</v>
      </c>
      <c r="H269">
        <v>2</v>
      </c>
      <c r="I269">
        <v>130.05000000000001</v>
      </c>
      <c r="J269">
        <v>260.10000000000002</v>
      </c>
      <c r="K269" t="s">
        <v>36</v>
      </c>
      <c r="L269">
        <f>sneakers_streetwear_sales_data[[#This Row],[Amount ($)]]*0.2</f>
        <v>52.02000000000001</v>
      </c>
    </row>
    <row r="270" spans="1:12" x14ac:dyDescent="0.25">
      <c r="A270" s="1">
        <v>44615</v>
      </c>
      <c r="B270" t="s">
        <v>18</v>
      </c>
      <c r="C270" t="s">
        <v>19</v>
      </c>
      <c r="D270" t="s">
        <v>20</v>
      </c>
      <c r="E270" t="s">
        <v>26</v>
      </c>
      <c r="F270" t="s">
        <v>32</v>
      </c>
      <c r="G270" t="s">
        <v>34</v>
      </c>
      <c r="H270">
        <v>2</v>
      </c>
      <c r="I270">
        <v>128.86000000000001</v>
      </c>
      <c r="J270">
        <v>257.72000000000003</v>
      </c>
      <c r="K270" t="s">
        <v>35</v>
      </c>
      <c r="L270">
        <f>sneakers_streetwear_sales_data[[#This Row],[Amount ($)]]*0.2</f>
        <v>51.544000000000011</v>
      </c>
    </row>
    <row r="271" spans="1:12" x14ac:dyDescent="0.25">
      <c r="A271" s="1">
        <v>44598</v>
      </c>
      <c r="B271" t="s">
        <v>24</v>
      </c>
      <c r="C271" t="s">
        <v>19</v>
      </c>
      <c r="D271" t="s">
        <v>25</v>
      </c>
      <c r="E271" t="s">
        <v>26</v>
      </c>
      <c r="F271" t="s">
        <v>40</v>
      </c>
      <c r="G271" t="s">
        <v>33</v>
      </c>
      <c r="H271">
        <v>1</v>
      </c>
      <c r="I271">
        <v>256.81</v>
      </c>
      <c r="J271">
        <v>256.81</v>
      </c>
      <c r="K271" t="s">
        <v>17</v>
      </c>
      <c r="L271">
        <f>sneakers_streetwear_sales_data[[#This Row],[Amount ($)]]*0.2</f>
        <v>51.362000000000002</v>
      </c>
    </row>
    <row r="272" spans="1:12" x14ac:dyDescent="0.25">
      <c r="A272" s="1">
        <v>44709</v>
      </c>
      <c r="B272" t="s">
        <v>44</v>
      </c>
      <c r="C272" t="s">
        <v>19</v>
      </c>
      <c r="D272" t="s">
        <v>20</v>
      </c>
      <c r="E272" t="s">
        <v>14</v>
      </c>
      <c r="F272" t="s">
        <v>40</v>
      </c>
      <c r="G272" t="s">
        <v>34</v>
      </c>
      <c r="H272">
        <v>4</v>
      </c>
      <c r="I272">
        <v>63.73</v>
      </c>
      <c r="J272">
        <v>254.92</v>
      </c>
      <c r="K272" t="s">
        <v>17</v>
      </c>
      <c r="L272">
        <f>sneakers_streetwear_sales_data[[#This Row],[Amount ($)]]*0.2</f>
        <v>50.984000000000002</v>
      </c>
    </row>
    <row r="273" spans="1:12" x14ac:dyDescent="0.25">
      <c r="A273" s="1">
        <v>44651</v>
      </c>
      <c r="B273" t="s">
        <v>41</v>
      </c>
      <c r="C273" t="s">
        <v>29</v>
      </c>
      <c r="D273" t="s">
        <v>42</v>
      </c>
      <c r="E273" t="s">
        <v>26</v>
      </c>
      <c r="F273" t="s">
        <v>40</v>
      </c>
      <c r="G273" t="s">
        <v>27</v>
      </c>
      <c r="H273">
        <v>1</v>
      </c>
      <c r="I273">
        <v>251.98</v>
      </c>
      <c r="J273">
        <v>251.98</v>
      </c>
      <c r="K273" t="s">
        <v>17</v>
      </c>
      <c r="L273">
        <f>sneakers_streetwear_sales_data[[#This Row],[Amount ($)]]*0.2</f>
        <v>50.396000000000001</v>
      </c>
    </row>
    <row r="274" spans="1:12" x14ac:dyDescent="0.25">
      <c r="A274" s="1">
        <v>44600</v>
      </c>
      <c r="B274" t="s">
        <v>28</v>
      </c>
      <c r="C274" t="s">
        <v>29</v>
      </c>
      <c r="D274" t="s">
        <v>25</v>
      </c>
      <c r="E274" t="s">
        <v>30</v>
      </c>
      <c r="F274" t="s">
        <v>21</v>
      </c>
      <c r="G274" t="s">
        <v>34</v>
      </c>
      <c r="H274">
        <v>3</v>
      </c>
      <c r="I274">
        <v>82.62</v>
      </c>
      <c r="J274">
        <v>247.86</v>
      </c>
      <c r="K274" t="s">
        <v>23</v>
      </c>
      <c r="L274">
        <f>sneakers_streetwear_sales_data[[#This Row],[Amount ($)]]*0.2</f>
        <v>49.572000000000003</v>
      </c>
    </row>
    <row r="275" spans="1:12" x14ac:dyDescent="0.25">
      <c r="A275" s="1">
        <v>44608</v>
      </c>
      <c r="B275" t="s">
        <v>37</v>
      </c>
      <c r="C275" t="s">
        <v>29</v>
      </c>
      <c r="D275" t="s">
        <v>38</v>
      </c>
      <c r="E275" t="s">
        <v>30</v>
      </c>
      <c r="F275" t="s">
        <v>15</v>
      </c>
      <c r="G275" t="s">
        <v>43</v>
      </c>
      <c r="H275">
        <v>3</v>
      </c>
      <c r="I275">
        <v>82.56</v>
      </c>
      <c r="J275">
        <v>247.68</v>
      </c>
      <c r="K275" t="s">
        <v>35</v>
      </c>
      <c r="L275">
        <f>sneakers_streetwear_sales_data[[#This Row],[Amount ($)]]*0.2</f>
        <v>49.536000000000001</v>
      </c>
    </row>
    <row r="276" spans="1:12" x14ac:dyDescent="0.25">
      <c r="A276" s="1">
        <v>44746</v>
      </c>
      <c r="B276" t="s">
        <v>45</v>
      </c>
      <c r="C276" t="s">
        <v>46</v>
      </c>
      <c r="D276" t="s">
        <v>47</v>
      </c>
      <c r="E276" t="s">
        <v>26</v>
      </c>
      <c r="F276" t="s">
        <v>32</v>
      </c>
      <c r="G276" t="s">
        <v>33</v>
      </c>
      <c r="H276">
        <v>4</v>
      </c>
      <c r="I276">
        <v>61.37</v>
      </c>
      <c r="J276">
        <v>245.48</v>
      </c>
      <c r="K276" t="s">
        <v>23</v>
      </c>
      <c r="L276">
        <f>sneakers_streetwear_sales_data[[#This Row],[Amount ($)]]*0.2</f>
        <v>49.096000000000004</v>
      </c>
    </row>
    <row r="277" spans="1:12" x14ac:dyDescent="0.25">
      <c r="A277" s="1">
        <v>44714</v>
      </c>
      <c r="B277" t="s">
        <v>37</v>
      </c>
      <c r="C277" t="s">
        <v>29</v>
      </c>
      <c r="D277" t="s">
        <v>38</v>
      </c>
      <c r="E277" t="s">
        <v>30</v>
      </c>
      <c r="F277" t="s">
        <v>15</v>
      </c>
      <c r="G277" t="s">
        <v>39</v>
      </c>
      <c r="H277">
        <v>3</v>
      </c>
      <c r="I277">
        <v>80.349999999999994</v>
      </c>
      <c r="J277">
        <v>241.05</v>
      </c>
      <c r="K277" t="s">
        <v>17</v>
      </c>
      <c r="L277">
        <f>sneakers_streetwear_sales_data[[#This Row],[Amount ($)]]*0.2</f>
        <v>48.210000000000008</v>
      </c>
    </row>
    <row r="278" spans="1:12" x14ac:dyDescent="0.25">
      <c r="A278" s="1">
        <v>44586</v>
      </c>
      <c r="B278" t="s">
        <v>11</v>
      </c>
      <c r="C278" t="s">
        <v>12</v>
      </c>
      <c r="D278" t="s">
        <v>13</v>
      </c>
      <c r="E278" t="s">
        <v>26</v>
      </c>
      <c r="F278" t="s">
        <v>15</v>
      </c>
      <c r="G278" t="s">
        <v>27</v>
      </c>
      <c r="H278">
        <v>1</v>
      </c>
      <c r="I278">
        <v>240.42</v>
      </c>
      <c r="J278">
        <v>240.42</v>
      </c>
      <c r="K278" t="s">
        <v>17</v>
      </c>
      <c r="L278">
        <f>sneakers_streetwear_sales_data[[#This Row],[Amount ($)]]*0.2</f>
        <v>48.084000000000003</v>
      </c>
    </row>
    <row r="279" spans="1:12" x14ac:dyDescent="0.25">
      <c r="A279" s="1">
        <v>44593</v>
      </c>
      <c r="B279" t="s">
        <v>45</v>
      </c>
      <c r="C279" t="s">
        <v>46</v>
      </c>
      <c r="D279" t="s">
        <v>47</v>
      </c>
      <c r="E279" t="s">
        <v>14</v>
      </c>
      <c r="F279" t="s">
        <v>32</v>
      </c>
      <c r="G279" t="s">
        <v>39</v>
      </c>
      <c r="H279">
        <v>1</v>
      </c>
      <c r="I279">
        <v>239.21</v>
      </c>
      <c r="J279">
        <v>239.21</v>
      </c>
      <c r="K279" t="s">
        <v>36</v>
      </c>
      <c r="L279">
        <f>sneakers_streetwear_sales_data[[#This Row],[Amount ($)]]*0.2</f>
        <v>47.842000000000006</v>
      </c>
    </row>
    <row r="280" spans="1:12" x14ac:dyDescent="0.25">
      <c r="A280" s="1">
        <v>44733</v>
      </c>
      <c r="B280" t="s">
        <v>28</v>
      </c>
      <c r="C280" t="s">
        <v>29</v>
      </c>
      <c r="D280" t="s">
        <v>25</v>
      </c>
      <c r="E280" t="s">
        <v>14</v>
      </c>
      <c r="F280" t="s">
        <v>21</v>
      </c>
      <c r="G280" t="s">
        <v>33</v>
      </c>
      <c r="H280">
        <v>3</v>
      </c>
      <c r="I280">
        <v>79.27</v>
      </c>
      <c r="J280">
        <v>237.81</v>
      </c>
      <c r="K280" t="s">
        <v>17</v>
      </c>
      <c r="L280">
        <f>sneakers_streetwear_sales_data[[#This Row],[Amount ($)]]*0.2</f>
        <v>47.562000000000005</v>
      </c>
    </row>
    <row r="281" spans="1:12" x14ac:dyDescent="0.25">
      <c r="A281" s="1">
        <v>44581</v>
      </c>
      <c r="B281" t="s">
        <v>37</v>
      </c>
      <c r="C281" t="s">
        <v>29</v>
      </c>
      <c r="D281" t="s">
        <v>38</v>
      </c>
      <c r="E281" t="s">
        <v>14</v>
      </c>
      <c r="F281" t="s">
        <v>15</v>
      </c>
      <c r="G281" t="s">
        <v>39</v>
      </c>
      <c r="H281">
        <v>1</v>
      </c>
      <c r="I281">
        <v>233.16</v>
      </c>
      <c r="J281">
        <v>233.16</v>
      </c>
      <c r="K281" t="s">
        <v>23</v>
      </c>
      <c r="L281">
        <f>sneakers_streetwear_sales_data[[#This Row],[Amount ($)]]*0.2</f>
        <v>46.632000000000005</v>
      </c>
    </row>
    <row r="282" spans="1:12" x14ac:dyDescent="0.25">
      <c r="A282" s="1">
        <v>44766</v>
      </c>
      <c r="B282" t="s">
        <v>11</v>
      </c>
      <c r="C282" t="s">
        <v>12</v>
      </c>
      <c r="D282" t="s">
        <v>13</v>
      </c>
      <c r="E282" t="s">
        <v>14</v>
      </c>
      <c r="F282" t="s">
        <v>15</v>
      </c>
      <c r="G282" t="s">
        <v>27</v>
      </c>
      <c r="H282">
        <v>4</v>
      </c>
      <c r="I282">
        <v>57.22</v>
      </c>
      <c r="J282">
        <v>228.88</v>
      </c>
      <c r="K282" t="s">
        <v>23</v>
      </c>
      <c r="L282">
        <f>sneakers_streetwear_sales_data[[#This Row],[Amount ($)]]*0.2</f>
        <v>45.776000000000003</v>
      </c>
    </row>
    <row r="283" spans="1:12" x14ac:dyDescent="0.25">
      <c r="A283" s="1">
        <v>44571</v>
      </c>
      <c r="B283" t="s">
        <v>45</v>
      </c>
      <c r="C283" t="s">
        <v>46</v>
      </c>
      <c r="D283" t="s">
        <v>47</v>
      </c>
      <c r="E283" t="s">
        <v>14</v>
      </c>
      <c r="F283" t="s">
        <v>40</v>
      </c>
      <c r="G283" t="s">
        <v>22</v>
      </c>
      <c r="H283">
        <v>4</v>
      </c>
      <c r="I283">
        <v>56.4</v>
      </c>
      <c r="J283">
        <v>225.6</v>
      </c>
      <c r="K283" t="s">
        <v>17</v>
      </c>
      <c r="L283">
        <f>sneakers_streetwear_sales_data[[#This Row],[Amount ($)]]*0.2</f>
        <v>45.120000000000005</v>
      </c>
    </row>
    <row r="284" spans="1:12" x14ac:dyDescent="0.25">
      <c r="A284" s="1">
        <v>44749</v>
      </c>
      <c r="B284" t="s">
        <v>45</v>
      </c>
      <c r="C284" t="s">
        <v>46</v>
      </c>
      <c r="D284" t="s">
        <v>47</v>
      </c>
      <c r="E284" t="s">
        <v>14</v>
      </c>
      <c r="F284" t="s">
        <v>32</v>
      </c>
      <c r="G284" t="s">
        <v>43</v>
      </c>
      <c r="H284">
        <v>1</v>
      </c>
      <c r="I284">
        <v>224.83</v>
      </c>
      <c r="J284">
        <v>224.83</v>
      </c>
      <c r="K284" t="s">
        <v>23</v>
      </c>
      <c r="L284">
        <f>sneakers_streetwear_sales_data[[#This Row],[Amount ($)]]*0.2</f>
        <v>44.966000000000008</v>
      </c>
    </row>
    <row r="285" spans="1:12" x14ac:dyDescent="0.25">
      <c r="A285" s="1">
        <v>44803</v>
      </c>
      <c r="B285" t="s">
        <v>11</v>
      </c>
      <c r="C285" t="s">
        <v>12</v>
      </c>
      <c r="D285" t="s">
        <v>13</v>
      </c>
      <c r="E285" t="s">
        <v>30</v>
      </c>
      <c r="F285" t="s">
        <v>40</v>
      </c>
      <c r="G285" t="s">
        <v>34</v>
      </c>
      <c r="H285">
        <v>2</v>
      </c>
      <c r="I285">
        <v>111.36</v>
      </c>
      <c r="J285">
        <v>222.72</v>
      </c>
      <c r="K285" t="s">
        <v>17</v>
      </c>
      <c r="L285">
        <f>sneakers_streetwear_sales_data[[#This Row],[Amount ($)]]*0.2</f>
        <v>44.544000000000004</v>
      </c>
    </row>
    <row r="286" spans="1:12" x14ac:dyDescent="0.25">
      <c r="A286" s="1">
        <v>44596</v>
      </c>
      <c r="B286" t="s">
        <v>48</v>
      </c>
      <c r="C286" t="s">
        <v>49</v>
      </c>
      <c r="D286" t="s">
        <v>50</v>
      </c>
      <c r="E286" t="s">
        <v>30</v>
      </c>
      <c r="F286" t="s">
        <v>21</v>
      </c>
      <c r="G286" t="s">
        <v>16</v>
      </c>
      <c r="H286">
        <v>1</v>
      </c>
      <c r="I286">
        <v>221.26</v>
      </c>
      <c r="J286">
        <v>221.26</v>
      </c>
      <c r="K286" t="s">
        <v>17</v>
      </c>
      <c r="L286">
        <f>sneakers_streetwear_sales_data[[#This Row],[Amount ($)]]*0.2</f>
        <v>44.252000000000002</v>
      </c>
    </row>
    <row r="287" spans="1:12" x14ac:dyDescent="0.25">
      <c r="A287" s="1">
        <v>44653</v>
      </c>
      <c r="B287" t="s">
        <v>28</v>
      </c>
      <c r="C287" t="s">
        <v>29</v>
      </c>
      <c r="D287" t="s">
        <v>25</v>
      </c>
      <c r="E287" t="s">
        <v>26</v>
      </c>
      <c r="F287" t="s">
        <v>21</v>
      </c>
      <c r="G287" t="s">
        <v>33</v>
      </c>
      <c r="H287">
        <v>3</v>
      </c>
      <c r="I287">
        <v>73.31</v>
      </c>
      <c r="J287">
        <v>219.93</v>
      </c>
      <c r="K287" t="s">
        <v>36</v>
      </c>
      <c r="L287">
        <f>sneakers_streetwear_sales_data[[#This Row],[Amount ($)]]*0.2</f>
        <v>43.986000000000004</v>
      </c>
    </row>
    <row r="288" spans="1:12" x14ac:dyDescent="0.25">
      <c r="A288" s="1">
        <v>44745</v>
      </c>
      <c r="B288" t="s">
        <v>18</v>
      </c>
      <c r="C288" t="s">
        <v>19</v>
      </c>
      <c r="D288" t="s">
        <v>20</v>
      </c>
      <c r="E288" t="s">
        <v>26</v>
      </c>
      <c r="F288" t="s">
        <v>40</v>
      </c>
      <c r="G288" t="s">
        <v>43</v>
      </c>
      <c r="H288">
        <v>2</v>
      </c>
      <c r="I288">
        <v>107.04</v>
      </c>
      <c r="J288">
        <v>214.08</v>
      </c>
      <c r="K288" t="s">
        <v>17</v>
      </c>
      <c r="L288">
        <f>sneakers_streetwear_sales_data[[#This Row],[Amount ($)]]*0.2</f>
        <v>42.816000000000003</v>
      </c>
    </row>
    <row r="289" spans="1:12" x14ac:dyDescent="0.25">
      <c r="A289" s="1">
        <v>44643</v>
      </c>
      <c r="B289" t="s">
        <v>28</v>
      </c>
      <c r="C289" t="s">
        <v>29</v>
      </c>
      <c r="D289" t="s">
        <v>25</v>
      </c>
      <c r="E289" t="s">
        <v>14</v>
      </c>
      <c r="F289" t="s">
        <v>32</v>
      </c>
      <c r="G289" t="s">
        <v>27</v>
      </c>
      <c r="H289">
        <v>1</v>
      </c>
      <c r="I289">
        <v>209.78</v>
      </c>
      <c r="J289">
        <v>209.78</v>
      </c>
      <c r="K289" t="s">
        <v>35</v>
      </c>
      <c r="L289">
        <f>sneakers_streetwear_sales_data[[#This Row],[Amount ($)]]*0.2</f>
        <v>41.956000000000003</v>
      </c>
    </row>
    <row r="290" spans="1:12" x14ac:dyDescent="0.25">
      <c r="A290" s="1">
        <v>44724</v>
      </c>
      <c r="B290" t="s">
        <v>41</v>
      </c>
      <c r="C290" t="s">
        <v>29</v>
      </c>
      <c r="D290" t="s">
        <v>42</v>
      </c>
      <c r="E290" t="s">
        <v>30</v>
      </c>
      <c r="F290" t="s">
        <v>40</v>
      </c>
      <c r="G290" t="s">
        <v>39</v>
      </c>
      <c r="H290">
        <v>4</v>
      </c>
      <c r="I290">
        <v>52.42</v>
      </c>
      <c r="J290">
        <v>209.68</v>
      </c>
      <c r="K290" t="s">
        <v>36</v>
      </c>
      <c r="L290">
        <f>sneakers_streetwear_sales_data[[#This Row],[Amount ($)]]*0.2</f>
        <v>41.936000000000007</v>
      </c>
    </row>
    <row r="291" spans="1:12" x14ac:dyDescent="0.25">
      <c r="A291" s="1">
        <v>44757</v>
      </c>
      <c r="B291" t="s">
        <v>44</v>
      </c>
      <c r="C291" t="s">
        <v>19</v>
      </c>
      <c r="D291" t="s">
        <v>20</v>
      </c>
      <c r="E291" t="s">
        <v>14</v>
      </c>
      <c r="F291" t="s">
        <v>32</v>
      </c>
      <c r="G291" t="s">
        <v>27</v>
      </c>
      <c r="H291">
        <v>1</v>
      </c>
      <c r="I291">
        <v>209.13</v>
      </c>
      <c r="J291">
        <v>209.13</v>
      </c>
      <c r="K291" t="s">
        <v>23</v>
      </c>
      <c r="L291">
        <f>sneakers_streetwear_sales_data[[#This Row],[Amount ($)]]*0.2</f>
        <v>41.826000000000001</v>
      </c>
    </row>
    <row r="292" spans="1:12" x14ac:dyDescent="0.25">
      <c r="A292" s="1">
        <v>44705</v>
      </c>
      <c r="B292" t="s">
        <v>44</v>
      </c>
      <c r="C292" t="s">
        <v>19</v>
      </c>
      <c r="D292" t="s">
        <v>20</v>
      </c>
      <c r="E292" t="s">
        <v>26</v>
      </c>
      <c r="F292" t="s">
        <v>32</v>
      </c>
      <c r="G292" t="s">
        <v>34</v>
      </c>
      <c r="H292">
        <v>1</v>
      </c>
      <c r="I292">
        <v>208.47</v>
      </c>
      <c r="J292">
        <v>208.47</v>
      </c>
      <c r="K292" t="s">
        <v>23</v>
      </c>
      <c r="L292">
        <f>sneakers_streetwear_sales_data[[#This Row],[Amount ($)]]*0.2</f>
        <v>41.694000000000003</v>
      </c>
    </row>
    <row r="293" spans="1:12" x14ac:dyDescent="0.25">
      <c r="A293" s="1">
        <v>44630</v>
      </c>
      <c r="B293" t="s">
        <v>31</v>
      </c>
      <c r="C293" t="s">
        <v>19</v>
      </c>
      <c r="D293" t="s">
        <v>25</v>
      </c>
      <c r="E293" t="s">
        <v>26</v>
      </c>
      <c r="F293" t="s">
        <v>40</v>
      </c>
      <c r="G293" t="s">
        <v>22</v>
      </c>
      <c r="H293">
        <v>1</v>
      </c>
      <c r="I293">
        <v>208.24</v>
      </c>
      <c r="J293">
        <v>208.24</v>
      </c>
      <c r="K293" t="s">
        <v>23</v>
      </c>
      <c r="L293">
        <f>sneakers_streetwear_sales_data[[#This Row],[Amount ($)]]*0.2</f>
        <v>41.648000000000003</v>
      </c>
    </row>
    <row r="294" spans="1:12" x14ac:dyDescent="0.25">
      <c r="A294" s="1">
        <v>44754</v>
      </c>
      <c r="B294" t="s">
        <v>11</v>
      </c>
      <c r="C294" t="s">
        <v>12</v>
      </c>
      <c r="D294" t="s">
        <v>13</v>
      </c>
      <c r="E294" t="s">
        <v>26</v>
      </c>
      <c r="F294" t="s">
        <v>15</v>
      </c>
      <c r="G294" t="s">
        <v>27</v>
      </c>
      <c r="H294">
        <v>1</v>
      </c>
      <c r="I294">
        <v>207.85</v>
      </c>
      <c r="J294">
        <v>207.85</v>
      </c>
      <c r="K294" t="s">
        <v>36</v>
      </c>
      <c r="L294">
        <f>sneakers_streetwear_sales_data[[#This Row],[Amount ($)]]*0.2</f>
        <v>41.57</v>
      </c>
    </row>
    <row r="295" spans="1:12" x14ac:dyDescent="0.25">
      <c r="A295" s="1">
        <v>44707</v>
      </c>
      <c r="B295" t="s">
        <v>11</v>
      </c>
      <c r="C295" t="s">
        <v>12</v>
      </c>
      <c r="D295" t="s">
        <v>13</v>
      </c>
      <c r="E295" t="s">
        <v>14</v>
      </c>
      <c r="F295" t="s">
        <v>32</v>
      </c>
      <c r="G295" t="s">
        <v>22</v>
      </c>
      <c r="H295">
        <v>1</v>
      </c>
      <c r="I295">
        <v>203.63</v>
      </c>
      <c r="J295">
        <v>203.63</v>
      </c>
      <c r="K295" t="s">
        <v>23</v>
      </c>
      <c r="L295">
        <f>sneakers_streetwear_sales_data[[#This Row],[Amount ($)]]*0.2</f>
        <v>40.725999999999999</v>
      </c>
    </row>
    <row r="296" spans="1:12" x14ac:dyDescent="0.25">
      <c r="A296" s="1">
        <v>44562</v>
      </c>
      <c r="B296" t="s">
        <v>18</v>
      </c>
      <c r="C296" t="s">
        <v>19</v>
      </c>
      <c r="D296" t="s">
        <v>20</v>
      </c>
      <c r="E296" t="s">
        <v>14</v>
      </c>
      <c r="F296" t="s">
        <v>32</v>
      </c>
      <c r="G296" t="s">
        <v>22</v>
      </c>
      <c r="H296">
        <v>1</v>
      </c>
      <c r="I296">
        <v>202.42</v>
      </c>
      <c r="J296">
        <v>202.42</v>
      </c>
      <c r="K296" t="s">
        <v>36</v>
      </c>
      <c r="L296">
        <f>sneakers_streetwear_sales_data[[#This Row],[Amount ($)]]*0.2</f>
        <v>40.484000000000002</v>
      </c>
    </row>
    <row r="297" spans="1:12" x14ac:dyDescent="0.25">
      <c r="A297" s="1">
        <v>44694</v>
      </c>
      <c r="B297" t="s">
        <v>45</v>
      </c>
      <c r="C297" t="s">
        <v>46</v>
      </c>
      <c r="D297" t="s">
        <v>47</v>
      </c>
      <c r="E297" t="s">
        <v>14</v>
      </c>
      <c r="F297" t="s">
        <v>32</v>
      </c>
      <c r="G297" t="s">
        <v>39</v>
      </c>
      <c r="H297">
        <v>2</v>
      </c>
      <c r="I297">
        <v>100.84</v>
      </c>
      <c r="J297">
        <v>201.68</v>
      </c>
      <c r="K297" t="s">
        <v>23</v>
      </c>
      <c r="L297">
        <f>sneakers_streetwear_sales_data[[#This Row],[Amount ($)]]*0.2</f>
        <v>40.336000000000006</v>
      </c>
    </row>
    <row r="298" spans="1:12" x14ac:dyDescent="0.25">
      <c r="A298" s="1">
        <v>44677</v>
      </c>
      <c r="B298" t="s">
        <v>28</v>
      </c>
      <c r="C298" t="s">
        <v>29</v>
      </c>
      <c r="D298" t="s">
        <v>25</v>
      </c>
      <c r="E298" t="s">
        <v>30</v>
      </c>
      <c r="F298" t="s">
        <v>32</v>
      </c>
      <c r="G298" t="s">
        <v>39</v>
      </c>
      <c r="H298">
        <v>2</v>
      </c>
      <c r="I298">
        <v>98.17</v>
      </c>
      <c r="J298">
        <v>196.34</v>
      </c>
      <c r="K298" t="s">
        <v>17</v>
      </c>
      <c r="L298">
        <f>sneakers_streetwear_sales_data[[#This Row],[Amount ($)]]*0.2</f>
        <v>39.268000000000001</v>
      </c>
    </row>
    <row r="299" spans="1:12" x14ac:dyDescent="0.25">
      <c r="A299" s="1">
        <v>44679</v>
      </c>
      <c r="B299" t="s">
        <v>48</v>
      </c>
      <c r="C299" t="s">
        <v>49</v>
      </c>
      <c r="D299" t="s">
        <v>50</v>
      </c>
      <c r="E299" t="s">
        <v>26</v>
      </c>
      <c r="F299" t="s">
        <v>40</v>
      </c>
      <c r="G299" t="s">
        <v>39</v>
      </c>
      <c r="H299">
        <v>3</v>
      </c>
      <c r="I299">
        <v>65.2</v>
      </c>
      <c r="J299">
        <v>195.6</v>
      </c>
      <c r="K299" t="s">
        <v>36</v>
      </c>
      <c r="L299">
        <f>sneakers_streetwear_sales_data[[#This Row],[Amount ($)]]*0.2</f>
        <v>39.120000000000005</v>
      </c>
    </row>
    <row r="300" spans="1:12" x14ac:dyDescent="0.25">
      <c r="A300" s="1">
        <v>44793</v>
      </c>
      <c r="B300" t="s">
        <v>31</v>
      </c>
      <c r="C300" t="s">
        <v>19</v>
      </c>
      <c r="D300" t="s">
        <v>25</v>
      </c>
      <c r="E300" t="s">
        <v>14</v>
      </c>
      <c r="F300" t="s">
        <v>15</v>
      </c>
      <c r="G300" t="s">
        <v>27</v>
      </c>
      <c r="H300">
        <v>2</v>
      </c>
      <c r="I300">
        <v>94.62</v>
      </c>
      <c r="J300">
        <v>189.24</v>
      </c>
      <c r="K300" t="s">
        <v>23</v>
      </c>
      <c r="L300">
        <f>sneakers_streetwear_sales_data[[#This Row],[Amount ($)]]*0.2</f>
        <v>37.848000000000006</v>
      </c>
    </row>
    <row r="301" spans="1:12" x14ac:dyDescent="0.25">
      <c r="A301" s="1">
        <v>44744</v>
      </c>
      <c r="B301" t="s">
        <v>48</v>
      </c>
      <c r="C301" t="s">
        <v>49</v>
      </c>
      <c r="D301" t="s">
        <v>50</v>
      </c>
      <c r="E301" t="s">
        <v>14</v>
      </c>
      <c r="F301" t="s">
        <v>21</v>
      </c>
      <c r="G301" t="s">
        <v>33</v>
      </c>
      <c r="H301">
        <v>1</v>
      </c>
      <c r="I301">
        <v>180.65</v>
      </c>
      <c r="J301">
        <v>180.65</v>
      </c>
      <c r="K301" t="s">
        <v>23</v>
      </c>
      <c r="L301">
        <f>sneakers_streetwear_sales_data[[#This Row],[Amount ($)]]*0.2</f>
        <v>36.130000000000003</v>
      </c>
    </row>
    <row r="302" spans="1:12" x14ac:dyDescent="0.25">
      <c r="A302" s="1">
        <v>44709</v>
      </c>
      <c r="B302" t="s">
        <v>37</v>
      </c>
      <c r="C302" t="s">
        <v>29</v>
      </c>
      <c r="D302" t="s">
        <v>38</v>
      </c>
      <c r="E302" t="s">
        <v>14</v>
      </c>
      <c r="F302" t="s">
        <v>15</v>
      </c>
      <c r="G302" t="s">
        <v>39</v>
      </c>
      <c r="H302">
        <v>1</v>
      </c>
      <c r="I302">
        <v>180.42</v>
      </c>
      <c r="J302">
        <v>180.42</v>
      </c>
      <c r="K302" t="s">
        <v>23</v>
      </c>
      <c r="L302">
        <f>sneakers_streetwear_sales_data[[#This Row],[Amount ($)]]*0.2</f>
        <v>36.083999999999996</v>
      </c>
    </row>
    <row r="303" spans="1:12" x14ac:dyDescent="0.25">
      <c r="A303" s="1">
        <v>44703</v>
      </c>
      <c r="B303" t="s">
        <v>37</v>
      </c>
      <c r="C303" t="s">
        <v>29</v>
      </c>
      <c r="D303" t="s">
        <v>38</v>
      </c>
      <c r="E303" t="s">
        <v>30</v>
      </c>
      <c r="F303" t="s">
        <v>21</v>
      </c>
      <c r="G303" t="s">
        <v>39</v>
      </c>
      <c r="H303">
        <v>1</v>
      </c>
      <c r="I303">
        <v>180.39</v>
      </c>
      <c r="J303">
        <v>180.39</v>
      </c>
      <c r="K303" t="s">
        <v>17</v>
      </c>
      <c r="L303">
        <f>sneakers_streetwear_sales_data[[#This Row],[Amount ($)]]*0.2</f>
        <v>36.077999999999996</v>
      </c>
    </row>
    <row r="304" spans="1:12" x14ac:dyDescent="0.25">
      <c r="A304" s="1">
        <v>44604</v>
      </c>
      <c r="B304" t="s">
        <v>28</v>
      </c>
      <c r="C304" t="s">
        <v>29</v>
      </c>
      <c r="D304" t="s">
        <v>25</v>
      </c>
      <c r="E304" t="s">
        <v>30</v>
      </c>
      <c r="F304" t="s">
        <v>21</v>
      </c>
      <c r="G304" t="s">
        <v>39</v>
      </c>
      <c r="H304">
        <v>3</v>
      </c>
      <c r="I304">
        <v>59.98</v>
      </c>
      <c r="J304">
        <v>179.94</v>
      </c>
      <c r="K304" t="s">
        <v>35</v>
      </c>
      <c r="L304">
        <f>sneakers_streetwear_sales_data[[#This Row],[Amount ($)]]*0.2</f>
        <v>35.988</v>
      </c>
    </row>
    <row r="305" spans="1:12" x14ac:dyDescent="0.25">
      <c r="A305" s="1">
        <v>44767</v>
      </c>
      <c r="B305" t="s">
        <v>37</v>
      </c>
      <c r="C305" t="s">
        <v>29</v>
      </c>
      <c r="D305" t="s">
        <v>38</v>
      </c>
      <c r="E305" t="s">
        <v>26</v>
      </c>
      <c r="F305" t="s">
        <v>15</v>
      </c>
      <c r="G305" t="s">
        <v>22</v>
      </c>
      <c r="H305">
        <v>2</v>
      </c>
      <c r="I305">
        <v>89.67</v>
      </c>
      <c r="J305">
        <v>179.34</v>
      </c>
      <c r="K305" t="s">
        <v>35</v>
      </c>
      <c r="L305">
        <f>sneakers_streetwear_sales_data[[#This Row],[Amount ($)]]*0.2</f>
        <v>35.868000000000002</v>
      </c>
    </row>
    <row r="306" spans="1:12" x14ac:dyDescent="0.25">
      <c r="A306" s="1">
        <v>44778</v>
      </c>
      <c r="B306" t="s">
        <v>37</v>
      </c>
      <c r="C306" t="s">
        <v>29</v>
      </c>
      <c r="D306" t="s">
        <v>38</v>
      </c>
      <c r="E306" t="s">
        <v>30</v>
      </c>
      <c r="F306" t="s">
        <v>32</v>
      </c>
      <c r="G306" t="s">
        <v>34</v>
      </c>
      <c r="H306">
        <v>2</v>
      </c>
      <c r="I306">
        <v>88</v>
      </c>
      <c r="J306">
        <v>176</v>
      </c>
      <c r="K306" t="s">
        <v>36</v>
      </c>
      <c r="L306">
        <f>sneakers_streetwear_sales_data[[#This Row],[Amount ($)]]*0.2</f>
        <v>35.200000000000003</v>
      </c>
    </row>
    <row r="307" spans="1:12" x14ac:dyDescent="0.25">
      <c r="A307" s="1">
        <v>44609</v>
      </c>
      <c r="B307" t="s">
        <v>37</v>
      </c>
      <c r="C307" t="s">
        <v>29</v>
      </c>
      <c r="D307" t="s">
        <v>38</v>
      </c>
      <c r="E307" t="s">
        <v>14</v>
      </c>
      <c r="F307" t="s">
        <v>21</v>
      </c>
      <c r="G307" t="s">
        <v>22</v>
      </c>
      <c r="H307">
        <v>3</v>
      </c>
      <c r="I307">
        <v>57.92</v>
      </c>
      <c r="J307">
        <v>173.76</v>
      </c>
      <c r="K307" t="s">
        <v>23</v>
      </c>
      <c r="L307">
        <f>sneakers_streetwear_sales_data[[#This Row],[Amount ($)]]*0.2</f>
        <v>34.752000000000002</v>
      </c>
    </row>
    <row r="308" spans="1:12" x14ac:dyDescent="0.25">
      <c r="A308" s="1">
        <v>44756</v>
      </c>
      <c r="B308" t="s">
        <v>24</v>
      </c>
      <c r="C308" t="s">
        <v>19</v>
      </c>
      <c r="D308" t="s">
        <v>25</v>
      </c>
      <c r="E308" t="s">
        <v>30</v>
      </c>
      <c r="F308" t="s">
        <v>15</v>
      </c>
      <c r="G308" t="s">
        <v>27</v>
      </c>
      <c r="H308">
        <v>1</v>
      </c>
      <c r="I308">
        <v>170.86</v>
      </c>
      <c r="J308">
        <v>170.86</v>
      </c>
      <c r="K308" t="s">
        <v>36</v>
      </c>
      <c r="L308">
        <f>sneakers_streetwear_sales_data[[#This Row],[Amount ($)]]*0.2</f>
        <v>34.172000000000004</v>
      </c>
    </row>
    <row r="309" spans="1:12" x14ac:dyDescent="0.25">
      <c r="A309" s="1">
        <v>44653</v>
      </c>
      <c r="B309" t="s">
        <v>45</v>
      </c>
      <c r="C309" t="s">
        <v>46</v>
      </c>
      <c r="D309" t="s">
        <v>47</v>
      </c>
      <c r="E309" t="s">
        <v>26</v>
      </c>
      <c r="F309" t="s">
        <v>40</v>
      </c>
      <c r="G309" t="s">
        <v>27</v>
      </c>
      <c r="H309">
        <v>1</v>
      </c>
      <c r="I309">
        <v>167.77</v>
      </c>
      <c r="J309">
        <v>167.77</v>
      </c>
      <c r="K309" t="s">
        <v>23</v>
      </c>
      <c r="L309">
        <f>sneakers_streetwear_sales_data[[#This Row],[Amount ($)]]*0.2</f>
        <v>33.554000000000002</v>
      </c>
    </row>
    <row r="310" spans="1:12" x14ac:dyDescent="0.25">
      <c r="A310" s="1">
        <v>44789</v>
      </c>
      <c r="B310" t="s">
        <v>18</v>
      </c>
      <c r="C310" t="s">
        <v>19</v>
      </c>
      <c r="D310" t="s">
        <v>20</v>
      </c>
      <c r="E310" t="s">
        <v>30</v>
      </c>
      <c r="F310" t="s">
        <v>21</v>
      </c>
      <c r="G310" t="s">
        <v>34</v>
      </c>
      <c r="H310">
        <v>1</v>
      </c>
      <c r="I310">
        <v>164.57</v>
      </c>
      <c r="J310">
        <v>164.57</v>
      </c>
      <c r="K310" t="s">
        <v>23</v>
      </c>
      <c r="L310">
        <f>sneakers_streetwear_sales_data[[#This Row],[Amount ($)]]*0.2</f>
        <v>32.914000000000001</v>
      </c>
    </row>
    <row r="311" spans="1:12" x14ac:dyDescent="0.25">
      <c r="A311" s="1">
        <v>44610</v>
      </c>
      <c r="B311" t="s">
        <v>45</v>
      </c>
      <c r="C311" t="s">
        <v>46</v>
      </c>
      <c r="D311" t="s">
        <v>47</v>
      </c>
      <c r="E311" t="s">
        <v>26</v>
      </c>
      <c r="F311" t="s">
        <v>40</v>
      </c>
      <c r="G311" t="s">
        <v>34</v>
      </c>
      <c r="H311">
        <v>3</v>
      </c>
      <c r="I311">
        <v>53.98</v>
      </c>
      <c r="J311">
        <v>161.94</v>
      </c>
      <c r="K311" t="s">
        <v>23</v>
      </c>
      <c r="L311">
        <f>sneakers_streetwear_sales_data[[#This Row],[Amount ($)]]*0.2</f>
        <v>32.387999999999998</v>
      </c>
    </row>
    <row r="312" spans="1:12" x14ac:dyDescent="0.25">
      <c r="A312" s="1">
        <v>44790</v>
      </c>
      <c r="B312" t="s">
        <v>18</v>
      </c>
      <c r="C312" t="s">
        <v>19</v>
      </c>
      <c r="D312" t="s">
        <v>20</v>
      </c>
      <c r="E312" t="s">
        <v>30</v>
      </c>
      <c r="F312" t="s">
        <v>40</v>
      </c>
      <c r="G312" t="s">
        <v>39</v>
      </c>
      <c r="H312">
        <v>2</v>
      </c>
      <c r="I312">
        <v>80.47</v>
      </c>
      <c r="J312">
        <v>160.94</v>
      </c>
      <c r="K312" t="s">
        <v>17</v>
      </c>
      <c r="L312">
        <f>sneakers_streetwear_sales_data[[#This Row],[Amount ($)]]*0.2</f>
        <v>32.188000000000002</v>
      </c>
    </row>
    <row r="313" spans="1:12" x14ac:dyDescent="0.25">
      <c r="A313" s="1">
        <v>44730</v>
      </c>
      <c r="B313" t="s">
        <v>31</v>
      </c>
      <c r="C313" t="s">
        <v>19</v>
      </c>
      <c r="D313" t="s">
        <v>25</v>
      </c>
      <c r="E313" t="s">
        <v>26</v>
      </c>
      <c r="F313" t="s">
        <v>32</v>
      </c>
      <c r="G313" t="s">
        <v>27</v>
      </c>
      <c r="H313">
        <v>2</v>
      </c>
      <c r="I313">
        <v>80.33</v>
      </c>
      <c r="J313">
        <v>160.66</v>
      </c>
      <c r="K313" t="s">
        <v>17</v>
      </c>
      <c r="L313">
        <f>sneakers_streetwear_sales_data[[#This Row],[Amount ($)]]*0.2</f>
        <v>32.131999999999998</v>
      </c>
    </row>
    <row r="314" spans="1:12" x14ac:dyDescent="0.25">
      <c r="A314" s="1">
        <v>44784</v>
      </c>
      <c r="B314" t="s">
        <v>11</v>
      </c>
      <c r="C314" t="s">
        <v>12</v>
      </c>
      <c r="D314" t="s">
        <v>13</v>
      </c>
      <c r="E314" t="s">
        <v>14</v>
      </c>
      <c r="F314" t="s">
        <v>32</v>
      </c>
      <c r="G314" t="s">
        <v>16</v>
      </c>
      <c r="H314">
        <v>1</v>
      </c>
      <c r="I314">
        <v>157.81</v>
      </c>
      <c r="J314">
        <v>157.81</v>
      </c>
      <c r="K314" t="s">
        <v>23</v>
      </c>
      <c r="L314">
        <f>sneakers_streetwear_sales_data[[#This Row],[Amount ($)]]*0.2</f>
        <v>31.562000000000001</v>
      </c>
    </row>
    <row r="315" spans="1:12" x14ac:dyDescent="0.25">
      <c r="A315" s="1">
        <v>44618</v>
      </c>
      <c r="B315" t="s">
        <v>31</v>
      </c>
      <c r="C315" t="s">
        <v>19</v>
      </c>
      <c r="D315" t="s">
        <v>25</v>
      </c>
      <c r="E315" t="s">
        <v>30</v>
      </c>
      <c r="F315" t="s">
        <v>15</v>
      </c>
      <c r="G315" t="s">
        <v>22</v>
      </c>
      <c r="H315">
        <v>3</v>
      </c>
      <c r="I315">
        <v>51.81</v>
      </c>
      <c r="J315">
        <v>155.43</v>
      </c>
      <c r="K315" t="s">
        <v>36</v>
      </c>
      <c r="L315">
        <f>sneakers_streetwear_sales_data[[#This Row],[Amount ($)]]*0.2</f>
        <v>31.086000000000002</v>
      </c>
    </row>
    <row r="316" spans="1:12" x14ac:dyDescent="0.25">
      <c r="A316" s="1">
        <v>44635</v>
      </c>
      <c r="B316" t="s">
        <v>11</v>
      </c>
      <c r="C316" t="s">
        <v>12</v>
      </c>
      <c r="D316" t="s">
        <v>13</v>
      </c>
      <c r="E316" t="s">
        <v>30</v>
      </c>
      <c r="F316" t="s">
        <v>32</v>
      </c>
      <c r="G316" t="s">
        <v>16</v>
      </c>
      <c r="H316">
        <v>2</v>
      </c>
      <c r="I316">
        <v>74.83</v>
      </c>
      <c r="J316">
        <v>149.66</v>
      </c>
      <c r="K316" t="s">
        <v>17</v>
      </c>
      <c r="L316">
        <f>sneakers_streetwear_sales_data[[#This Row],[Amount ($)]]*0.2</f>
        <v>29.932000000000002</v>
      </c>
    </row>
    <row r="317" spans="1:12" x14ac:dyDescent="0.25">
      <c r="A317" s="1">
        <v>44653</v>
      </c>
      <c r="B317" t="s">
        <v>41</v>
      </c>
      <c r="C317" t="s">
        <v>29</v>
      </c>
      <c r="D317" t="s">
        <v>42</v>
      </c>
      <c r="E317" t="s">
        <v>30</v>
      </c>
      <c r="F317" t="s">
        <v>32</v>
      </c>
      <c r="G317" t="s">
        <v>27</v>
      </c>
      <c r="H317">
        <v>1</v>
      </c>
      <c r="I317">
        <v>144.59</v>
      </c>
      <c r="J317">
        <v>144.59</v>
      </c>
      <c r="K317" t="s">
        <v>35</v>
      </c>
      <c r="L317">
        <f>sneakers_streetwear_sales_data[[#This Row],[Amount ($)]]*0.2</f>
        <v>28.918000000000003</v>
      </c>
    </row>
    <row r="318" spans="1:12" x14ac:dyDescent="0.25">
      <c r="A318" s="1">
        <v>44724</v>
      </c>
      <c r="B318" t="s">
        <v>48</v>
      </c>
      <c r="C318" t="s">
        <v>49</v>
      </c>
      <c r="D318" t="s">
        <v>50</v>
      </c>
      <c r="E318" t="s">
        <v>30</v>
      </c>
      <c r="F318" t="s">
        <v>15</v>
      </c>
      <c r="G318" t="s">
        <v>43</v>
      </c>
      <c r="H318">
        <v>1</v>
      </c>
      <c r="I318">
        <v>144.04</v>
      </c>
      <c r="J318">
        <v>144.04</v>
      </c>
      <c r="K318" t="s">
        <v>23</v>
      </c>
      <c r="L318">
        <f>sneakers_streetwear_sales_data[[#This Row],[Amount ($)]]*0.2</f>
        <v>28.808</v>
      </c>
    </row>
    <row r="319" spans="1:12" x14ac:dyDescent="0.25">
      <c r="A319" s="1">
        <v>44592</v>
      </c>
      <c r="B319" t="s">
        <v>41</v>
      </c>
      <c r="C319" t="s">
        <v>29</v>
      </c>
      <c r="D319" t="s">
        <v>42</v>
      </c>
      <c r="E319" t="s">
        <v>26</v>
      </c>
      <c r="F319" t="s">
        <v>15</v>
      </c>
      <c r="G319" t="s">
        <v>33</v>
      </c>
      <c r="H319">
        <v>1</v>
      </c>
      <c r="I319">
        <v>141.11000000000001</v>
      </c>
      <c r="J319">
        <v>141.11000000000001</v>
      </c>
      <c r="K319" t="s">
        <v>35</v>
      </c>
      <c r="L319">
        <f>sneakers_streetwear_sales_data[[#This Row],[Amount ($)]]*0.2</f>
        <v>28.222000000000005</v>
      </c>
    </row>
    <row r="320" spans="1:12" x14ac:dyDescent="0.25">
      <c r="A320" s="1">
        <v>44567</v>
      </c>
      <c r="B320" t="s">
        <v>44</v>
      </c>
      <c r="C320" t="s">
        <v>19</v>
      </c>
      <c r="D320" t="s">
        <v>20</v>
      </c>
      <c r="E320" t="s">
        <v>14</v>
      </c>
      <c r="F320" t="s">
        <v>40</v>
      </c>
      <c r="G320" t="s">
        <v>27</v>
      </c>
      <c r="H320">
        <v>1</v>
      </c>
      <c r="I320">
        <v>137.19999999999999</v>
      </c>
      <c r="J320">
        <v>137.19999999999999</v>
      </c>
      <c r="K320" t="s">
        <v>17</v>
      </c>
      <c r="L320">
        <f>sneakers_streetwear_sales_data[[#This Row],[Amount ($)]]*0.2</f>
        <v>27.439999999999998</v>
      </c>
    </row>
    <row r="321" spans="1:12" x14ac:dyDescent="0.25">
      <c r="A321" s="1">
        <v>44748</v>
      </c>
      <c r="B321" t="s">
        <v>41</v>
      </c>
      <c r="C321" t="s">
        <v>29</v>
      </c>
      <c r="D321" t="s">
        <v>42</v>
      </c>
      <c r="E321" t="s">
        <v>26</v>
      </c>
      <c r="F321" t="s">
        <v>15</v>
      </c>
      <c r="G321" t="s">
        <v>27</v>
      </c>
      <c r="H321">
        <v>1</v>
      </c>
      <c r="I321">
        <v>136.80000000000001</v>
      </c>
      <c r="J321">
        <v>136.80000000000001</v>
      </c>
      <c r="K321" t="s">
        <v>35</v>
      </c>
      <c r="L321">
        <f>sneakers_streetwear_sales_data[[#This Row],[Amount ($)]]*0.2</f>
        <v>27.360000000000003</v>
      </c>
    </row>
    <row r="322" spans="1:12" x14ac:dyDescent="0.25">
      <c r="A322" s="1">
        <v>44710</v>
      </c>
      <c r="B322" t="s">
        <v>24</v>
      </c>
      <c r="C322" t="s">
        <v>19</v>
      </c>
      <c r="D322" t="s">
        <v>25</v>
      </c>
      <c r="E322" t="s">
        <v>26</v>
      </c>
      <c r="F322" t="s">
        <v>21</v>
      </c>
      <c r="G322" t="s">
        <v>39</v>
      </c>
      <c r="H322">
        <v>1</v>
      </c>
      <c r="I322">
        <v>132.09</v>
      </c>
      <c r="J322">
        <v>132.09</v>
      </c>
      <c r="K322" t="s">
        <v>35</v>
      </c>
      <c r="L322">
        <f>sneakers_streetwear_sales_data[[#This Row],[Amount ($)]]*0.2</f>
        <v>26.418000000000003</v>
      </c>
    </row>
    <row r="323" spans="1:12" x14ac:dyDescent="0.25">
      <c r="A323" s="1">
        <v>44803</v>
      </c>
      <c r="B323" t="s">
        <v>48</v>
      </c>
      <c r="C323" t="s">
        <v>49</v>
      </c>
      <c r="D323" t="s">
        <v>50</v>
      </c>
      <c r="E323" t="s">
        <v>26</v>
      </c>
      <c r="F323" t="s">
        <v>40</v>
      </c>
      <c r="G323" t="s">
        <v>33</v>
      </c>
      <c r="H323">
        <v>1</v>
      </c>
      <c r="I323">
        <v>132.07</v>
      </c>
      <c r="J323">
        <v>132.07</v>
      </c>
      <c r="K323" t="s">
        <v>36</v>
      </c>
      <c r="L323">
        <f>sneakers_streetwear_sales_data[[#This Row],[Amount ($)]]*0.2</f>
        <v>26.414000000000001</v>
      </c>
    </row>
    <row r="324" spans="1:12" x14ac:dyDescent="0.25">
      <c r="A324" s="1">
        <v>44727</v>
      </c>
      <c r="B324" t="s">
        <v>37</v>
      </c>
      <c r="C324" t="s">
        <v>29</v>
      </c>
      <c r="D324" t="s">
        <v>38</v>
      </c>
      <c r="E324" t="s">
        <v>30</v>
      </c>
      <c r="F324" t="s">
        <v>40</v>
      </c>
      <c r="G324" t="s">
        <v>34</v>
      </c>
      <c r="H324">
        <v>2</v>
      </c>
      <c r="I324">
        <v>63.76</v>
      </c>
      <c r="J324">
        <v>127.52</v>
      </c>
      <c r="K324" t="s">
        <v>23</v>
      </c>
      <c r="L324">
        <f>sneakers_streetwear_sales_data[[#This Row],[Amount ($)]]*0.2</f>
        <v>25.504000000000001</v>
      </c>
    </row>
    <row r="325" spans="1:12" x14ac:dyDescent="0.25">
      <c r="A325" s="1">
        <v>44730</v>
      </c>
      <c r="B325" t="s">
        <v>18</v>
      </c>
      <c r="C325" t="s">
        <v>19</v>
      </c>
      <c r="D325" t="s">
        <v>20</v>
      </c>
      <c r="E325" t="s">
        <v>26</v>
      </c>
      <c r="F325" t="s">
        <v>15</v>
      </c>
      <c r="G325" t="s">
        <v>39</v>
      </c>
      <c r="H325">
        <v>1</v>
      </c>
      <c r="I325">
        <v>122.32</v>
      </c>
      <c r="J325">
        <v>122.32</v>
      </c>
      <c r="K325" t="s">
        <v>23</v>
      </c>
      <c r="L325">
        <f>sneakers_streetwear_sales_data[[#This Row],[Amount ($)]]*0.2</f>
        <v>24.463999999999999</v>
      </c>
    </row>
    <row r="326" spans="1:12" x14ac:dyDescent="0.25">
      <c r="A326" s="1">
        <v>44737</v>
      </c>
      <c r="B326" t="s">
        <v>18</v>
      </c>
      <c r="C326" t="s">
        <v>19</v>
      </c>
      <c r="D326" t="s">
        <v>20</v>
      </c>
      <c r="E326" t="s">
        <v>30</v>
      </c>
      <c r="F326" t="s">
        <v>15</v>
      </c>
      <c r="G326" t="s">
        <v>22</v>
      </c>
      <c r="H326">
        <v>1</v>
      </c>
      <c r="I326">
        <v>117.18</v>
      </c>
      <c r="J326">
        <v>117.18</v>
      </c>
      <c r="K326" t="s">
        <v>23</v>
      </c>
      <c r="L326">
        <f>sneakers_streetwear_sales_data[[#This Row],[Amount ($)]]*0.2</f>
        <v>23.436000000000003</v>
      </c>
    </row>
    <row r="327" spans="1:12" x14ac:dyDescent="0.25">
      <c r="A327" s="1">
        <v>44688</v>
      </c>
      <c r="B327" t="s">
        <v>24</v>
      </c>
      <c r="C327" t="s">
        <v>19</v>
      </c>
      <c r="D327" t="s">
        <v>25</v>
      </c>
      <c r="E327" t="s">
        <v>14</v>
      </c>
      <c r="F327" t="s">
        <v>21</v>
      </c>
      <c r="G327" t="s">
        <v>33</v>
      </c>
      <c r="H327">
        <v>1</v>
      </c>
      <c r="I327">
        <v>114.47</v>
      </c>
      <c r="J327">
        <v>114.47</v>
      </c>
      <c r="K327" t="s">
        <v>36</v>
      </c>
      <c r="L327">
        <f>sneakers_streetwear_sales_data[[#This Row],[Amount ($)]]*0.2</f>
        <v>22.894000000000002</v>
      </c>
    </row>
    <row r="328" spans="1:12" x14ac:dyDescent="0.25">
      <c r="A328" s="1">
        <v>44798</v>
      </c>
      <c r="B328" t="s">
        <v>44</v>
      </c>
      <c r="C328" t="s">
        <v>19</v>
      </c>
      <c r="D328" t="s">
        <v>20</v>
      </c>
      <c r="E328" t="s">
        <v>14</v>
      </c>
      <c r="F328" t="s">
        <v>32</v>
      </c>
      <c r="G328" t="s">
        <v>27</v>
      </c>
      <c r="H328">
        <v>1</v>
      </c>
      <c r="I328">
        <v>112.26</v>
      </c>
      <c r="J328">
        <v>112.26</v>
      </c>
      <c r="K328" t="s">
        <v>35</v>
      </c>
      <c r="L328">
        <f>sneakers_streetwear_sales_data[[#This Row],[Amount ($)]]*0.2</f>
        <v>22.452000000000002</v>
      </c>
    </row>
    <row r="329" spans="1:12" x14ac:dyDescent="0.25">
      <c r="A329" s="1">
        <v>44665</v>
      </c>
      <c r="B329" t="s">
        <v>18</v>
      </c>
      <c r="C329" t="s">
        <v>19</v>
      </c>
      <c r="D329" t="s">
        <v>20</v>
      </c>
      <c r="E329" t="s">
        <v>26</v>
      </c>
      <c r="F329" t="s">
        <v>21</v>
      </c>
      <c r="G329" t="s">
        <v>27</v>
      </c>
      <c r="H329">
        <v>1</v>
      </c>
      <c r="I329">
        <v>109.66</v>
      </c>
      <c r="J329">
        <v>109.66</v>
      </c>
      <c r="K329" t="s">
        <v>23</v>
      </c>
      <c r="L329">
        <f>sneakers_streetwear_sales_data[[#This Row],[Amount ($)]]*0.2</f>
        <v>21.932000000000002</v>
      </c>
    </row>
    <row r="330" spans="1:12" x14ac:dyDescent="0.25">
      <c r="A330" s="1">
        <v>44741</v>
      </c>
      <c r="B330" t="s">
        <v>37</v>
      </c>
      <c r="C330" t="s">
        <v>29</v>
      </c>
      <c r="D330" t="s">
        <v>38</v>
      </c>
      <c r="E330" t="s">
        <v>14</v>
      </c>
      <c r="F330" t="s">
        <v>40</v>
      </c>
      <c r="G330" t="s">
        <v>27</v>
      </c>
      <c r="H330">
        <v>2</v>
      </c>
      <c r="I330">
        <v>54.76</v>
      </c>
      <c r="J330">
        <v>109.52</v>
      </c>
      <c r="K330" t="s">
        <v>36</v>
      </c>
      <c r="L330">
        <f>sneakers_streetwear_sales_data[[#This Row],[Amount ($)]]*0.2</f>
        <v>21.904</v>
      </c>
    </row>
    <row r="331" spans="1:12" x14ac:dyDescent="0.25">
      <c r="A331" s="1">
        <v>44768</v>
      </c>
      <c r="B331" t="s">
        <v>11</v>
      </c>
      <c r="C331" t="s">
        <v>12</v>
      </c>
      <c r="D331" t="s">
        <v>13</v>
      </c>
      <c r="E331" t="s">
        <v>14</v>
      </c>
      <c r="F331" t="s">
        <v>21</v>
      </c>
      <c r="G331" t="s">
        <v>22</v>
      </c>
      <c r="H331">
        <v>1</v>
      </c>
      <c r="I331">
        <v>106.59</v>
      </c>
      <c r="J331">
        <v>106.59</v>
      </c>
      <c r="K331" t="s">
        <v>17</v>
      </c>
      <c r="L331">
        <f>sneakers_streetwear_sales_data[[#This Row],[Amount ($)]]*0.2</f>
        <v>21.318000000000001</v>
      </c>
    </row>
    <row r="332" spans="1:12" x14ac:dyDescent="0.25">
      <c r="A332" s="1">
        <v>44581</v>
      </c>
      <c r="B332" t="s">
        <v>41</v>
      </c>
      <c r="C332" t="s">
        <v>29</v>
      </c>
      <c r="D332" t="s">
        <v>42</v>
      </c>
      <c r="E332" t="s">
        <v>26</v>
      </c>
      <c r="F332" t="s">
        <v>15</v>
      </c>
      <c r="G332" t="s">
        <v>27</v>
      </c>
      <c r="H332">
        <v>2</v>
      </c>
      <c r="I332">
        <v>53.05</v>
      </c>
      <c r="J332">
        <v>106.1</v>
      </c>
      <c r="K332" t="s">
        <v>23</v>
      </c>
      <c r="L332">
        <f>sneakers_streetwear_sales_data[[#This Row],[Amount ($)]]*0.2</f>
        <v>21.22</v>
      </c>
    </row>
    <row r="333" spans="1:12" x14ac:dyDescent="0.25">
      <c r="A333" s="1">
        <v>44798</v>
      </c>
      <c r="B333" t="s">
        <v>44</v>
      </c>
      <c r="C333" t="s">
        <v>19</v>
      </c>
      <c r="D333" t="s">
        <v>20</v>
      </c>
      <c r="E333" t="s">
        <v>14</v>
      </c>
      <c r="F333" t="s">
        <v>32</v>
      </c>
      <c r="G333" t="s">
        <v>22</v>
      </c>
      <c r="H333">
        <v>1</v>
      </c>
      <c r="I333">
        <v>104.16</v>
      </c>
      <c r="J333">
        <v>104.16</v>
      </c>
      <c r="K333" t="s">
        <v>36</v>
      </c>
      <c r="L333">
        <f>sneakers_streetwear_sales_data[[#This Row],[Amount ($)]]*0.2</f>
        <v>20.832000000000001</v>
      </c>
    </row>
    <row r="334" spans="1:12" x14ac:dyDescent="0.25">
      <c r="A334" s="1">
        <v>44625</v>
      </c>
      <c r="B334" t="s">
        <v>28</v>
      </c>
      <c r="C334" t="s">
        <v>29</v>
      </c>
      <c r="D334" t="s">
        <v>25</v>
      </c>
      <c r="E334" t="s">
        <v>30</v>
      </c>
      <c r="F334" t="s">
        <v>21</v>
      </c>
      <c r="G334" t="s">
        <v>33</v>
      </c>
      <c r="H334">
        <v>2</v>
      </c>
      <c r="I334">
        <v>51.11</v>
      </c>
      <c r="J334">
        <v>102.22</v>
      </c>
      <c r="K334" t="s">
        <v>23</v>
      </c>
      <c r="L334">
        <f>sneakers_streetwear_sales_data[[#This Row],[Amount ($)]]*0.2</f>
        <v>20.444000000000003</v>
      </c>
    </row>
    <row r="335" spans="1:12" x14ac:dyDescent="0.25">
      <c r="A335" s="1">
        <v>44629</v>
      </c>
      <c r="B335" t="s">
        <v>37</v>
      </c>
      <c r="C335" t="s">
        <v>29</v>
      </c>
      <c r="D335" t="s">
        <v>38</v>
      </c>
      <c r="E335" t="s">
        <v>14</v>
      </c>
      <c r="F335" t="s">
        <v>21</v>
      </c>
      <c r="G335" t="s">
        <v>39</v>
      </c>
      <c r="H335">
        <v>1</v>
      </c>
      <c r="I335">
        <v>101.32</v>
      </c>
      <c r="J335">
        <v>101.32</v>
      </c>
      <c r="K335" t="s">
        <v>35</v>
      </c>
      <c r="L335">
        <f>sneakers_streetwear_sales_data[[#This Row],[Amount ($)]]*0.2</f>
        <v>20.263999999999999</v>
      </c>
    </row>
    <row r="336" spans="1:12" x14ac:dyDescent="0.25">
      <c r="A336" s="1">
        <v>44775</v>
      </c>
      <c r="B336" t="s">
        <v>41</v>
      </c>
      <c r="C336" t="s">
        <v>29</v>
      </c>
      <c r="D336" t="s">
        <v>42</v>
      </c>
      <c r="E336" t="s">
        <v>30</v>
      </c>
      <c r="F336" t="s">
        <v>32</v>
      </c>
      <c r="G336" t="s">
        <v>39</v>
      </c>
      <c r="H336">
        <v>1</v>
      </c>
      <c r="I336">
        <v>98.04</v>
      </c>
      <c r="J336">
        <v>98.04</v>
      </c>
      <c r="K336" t="s">
        <v>23</v>
      </c>
      <c r="L336">
        <f>sneakers_streetwear_sales_data[[#This Row],[Amount ($)]]*0.2</f>
        <v>19.608000000000004</v>
      </c>
    </row>
    <row r="337" spans="1:12" x14ac:dyDescent="0.25">
      <c r="A337" s="1">
        <v>44684</v>
      </c>
      <c r="B337" t="s">
        <v>31</v>
      </c>
      <c r="C337" t="s">
        <v>19</v>
      </c>
      <c r="D337" t="s">
        <v>25</v>
      </c>
      <c r="E337" t="s">
        <v>14</v>
      </c>
      <c r="F337" t="s">
        <v>40</v>
      </c>
      <c r="G337" t="s">
        <v>43</v>
      </c>
      <c r="H337">
        <v>1</v>
      </c>
      <c r="I337">
        <v>96.97</v>
      </c>
      <c r="J337">
        <v>96.97</v>
      </c>
      <c r="K337" t="s">
        <v>36</v>
      </c>
      <c r="L337">
        <f>sneakers_streetwear_sales_data[[#This Row],[Amount ($)]]*0.2</f>
        <v>19.394000000000002</v>
      </c>
    </row>
    <row r="338" spans="1:12" x14ac:dyDescent="0.25">
      <c r="A338" s="1">
        <v>44799</v>
      </c>
      <c r="B338" t="s">
        <v>44</v>
      </c>
      <c r="C338" t="s">
        <v>19</v>
      </c>
      <c r="D338" t="s">
        <v>20</v>
      </c>
      <c r="E338" t="s">
        <v>30</v>
      </c>
      <c r="F338" t="s">
        <v>40</v>
      </c>
      <c r="G338" t="s">
        <v>16</v>
      </c>
      <c r="H338">
        <v>1</v>
      </c>
      <c r="I338">
        <v>93.08</v>
      </c>
      <c r="J338">
        <v>93.08</v>
      </c>
      <c r="K338" t="s">
        <v>36</v>
      </c>
      <c r="L338">
        <f>sneakers_streetwear_sales_data[[#This Row],[Amount ($)]]*0.2</f>
        <v>18.616</v>
      </c>
    </row>
    <row r="339" spans="1:12" x14ac:dyDescent="0.25">
      <c r="A339" s="1">
        <v>44579</v>
      </c>
      <c r="B339" t="s">
        <v>41</v>
      </c>
      <c r="C339" t="s">
        <v>29</v>
      </c>
      <c r="D339" t="s">
        <v>42</v>
      </c>
      <c r="E339" t="s">
        <v>14</v>
      </c>
      <c r="F339" t="s">
        <v>32</v>
      </c>
      <c r="G339" t="s">
        <v>34</v>
      </c>
      <c r="H339">
        <v>1</v>
      </c>
      <c r="I339">
        <v>91.56</v>
      </c>
      <c r="J339">
        <v>91.56</v>
      </c>
      <c r="K339" t="s">
        <v>35</v>
      </c>
      <c r="L339">
        <f>sneakers_streetwear_sales_data[[#This Row],[Amount ($)]]*0.2</f>
        <v>18.312000000000001</v>
      </c>
    </row>
    <row r="340" spans="1:12" x14ac:dyDescent="0.25">
      <c r="A340" s="1">
        <v>44654</v>
      </c>
      <c r="B340" t="s">
        <v>48</v>
      </c>
      <c r="C340" t="s">
        <v>49</v>
      </c>
      <c r="D340" t="s">
        <v>50</v>
      </c>
      <c r="E340" t="s">
        <v>30</v>
      </c>
      <c r="F340" t="s">
        <v>32</v>
      </c>
      <c r="G340" t="s">
        <v>43</v>
      </c>
      <c r="H340">
        <v>1</v>
      </c>
      <c r="I340">
        <v>89.5</v>
      </c>
      <c r="J340">
        <v>89.5</v>
      </c>
      <c r="K340" t="s">
        <v>35</v>
      </c>
      <c r="L340">
        <f>sneakers_streetwear_sales_data[[#This Row],[Amount ($)]]*0.2</f>
        <v>17.900000000000002</v>
      </c>
    </row>
    <row r="341" spans="1:12" x14ac:dyDescent="0.25">
      <c r="A341" s="1">
        <v>44633</v>
      </c>
      <c r="B341" t="s">
        <v>37</v>
      </c>
      <c r="C341" t="s">
        <v>29</v>
      </c>
      <c r="D341" t="s">
        <v>38</v>
      </c>
      <c r="E341" t="s">
        <v>26</v>
      </c>
      <c r="F341" t="s">
        <v>32</v>
      </c>
      <c r="G341" t="s">
        <v>34</v>
      </c>
      <c r="H341">
        <v>1</v>
      </c>
      <c r="I341">
        <v>89.14</v>
      </c>
      <c r="J341">
        <v>89.14</v>
      </c>
      <c r="K341" t="s">
        <v>23</v>
      </c>
      <c r="L341">
        <f>sneakers_streetwear_sales_data[[#This Row],[Amount ($)]]*0.2</f>
        <v>17.827999999999999</v>
      </c>
    </row>
    <row r="342" spans="1:12" x14ac:dyDescent="0.25">
      <c r="A342" s="1">
        <v>44744</v>
      </c>
      <c r="B342" t="s">
        <v>37</v>
      </c>
      <c r="C342" t="s">
        <v>29</v>
      </c>
      <c r="D342" t="s">
        <v>38</v>
      </c>
      <c r="E342" t="s">
        <v>30</v>
      </c>
      <c r="F342" t="s">
        <v>40</v>
      </c>
      <c r="G342" t="s">
        <v>16</v>
      </c>
      <c r="H342">
        <v>1</v>
      </c>
      <c r="I342">
        <v>86.17</v>
      </c>
      <c r="J342">
        <v>86.17</v>
      </c>
      <c r="K342" t="s">
        <v>36</v>
      </c>
      <c r="L342">
        <f>sneakers_streetwear_sales_data[[#This Row],[Amount ($)]]*0.2</f>
        <v>17.234000000000002</v>
      </c>
    </row>
    <row r="343" spans="1:12" x14ac:dyDescent="0.25">
      <c r="A343" s="1">
        <v>44718</v>
      </c>
      <c r="B343" t="s">
        <v>48</v>
      </c>
      <c r="C343" t="s">
        <v>49</v>
      </c>
      <c r="D343" t="s">
        <v>50</v>
      </c>
      <c r="E343" t="s">
        <v>26</v>
      </c>
      <c r="F343" t="s">
        <v>32</v>
      </c>
      <c r="G343" t="s">
        <v>43</v>
      </c>
      <c r="H343">
        <v>1</v>
      </c>
      <c r="I343">
        <v>81.569999999999993</v>
      </c>
      <c r="J343">
        <v>81.569999999999993</v>
      </c>
      <c r="K343" t="s">
        <v>35</v>
      </c>
      <c r="L343">
        <f>sneakers_streetwear_sales_data[[#This Row],[Amount ($)]]*0.2</f>
        <v>16.314</v>
      </c>
    </row>
    <row r="344" spans="1:12" x14ac:dyDescent="0.25">
      <c r="A344" s="1">
        <v>44689</v>
      </c>
      <c r="B344" t="s">
        <v>45</v>
      </c>
      <c r="C344" t="s">
        <v>46</v>
      </c>
      <c r="D344" t="s">
        <v>47</v>
      </c>
      <c r="E344" t="s">
        <v>26</v>
      </c>
      <c r="F344" t="s">
        <v>40</v>
      </c>
      <c r="G344" t="s">
        <v>39</v>
      </c>
      <c r="H344">
        <v>1</v>
      </c>
      <c r="I344">
        <v>75.27</v>
      </c>
      <c r="J344">
        <v>75.27</v>
      </c>
      <c r="K344" t="s">
        <v>17</v>
      </c>
      <c r="L344">
        <f>sneakers_streetwear_sales_data[[#This Row],[Amount ($)]]*0.2</f>
        <v>15.054</v>
      </c>
    </row>
    <row r="345" spans="1:12" x14ac:dyDescent="0.25">
      <c r="A345" s="1">
        <v>44679</v>
      </c>
      <c r="B345" t="s">
        <v>18</v>
      </c>
      <c r="C345" t="s">
        <v>19</v>
      </c>
      <c r="D345" t="s">
        <v>20</v>
      </c>
      <c r="E345" t="s">
        <v>14</v>
      </c>
      <c r="F345" t="s">
        <v>40</v>
      </c>
      <c r="G345" t="s">
        <v>33</v>
      </c>
      <c r="H345">
        <v>1</v>
      </c>
      <c r="I345">
        <v>70.69</v>
      </c>
      <c r="J345">
        <v>70.69</v>
      </c>
      <c r="K345" t="s">
        <v>35</v>
      </c>
      <c r="L345">
        <f>sneakers_streetwear_sales_data[[#This Row],[Amount ($)]]*0.2</f>
        <v>14.138</v>
      </c>
    </row>
    <row r="346" spans="1:12" x14ac:dyDescent="0.25">
      <c r="A346" s="1">
        <v>44678</v>
      </c>
      <c r="B346" t="s">
        <v>18</v>
      </c>
      <c r="C346" t="s">
        <v>19</v>
      </c>
      <c r="D346" t="s">
        <v>20</v>
      </c>
      <c r="E346" t="s">
        <v>26</v>
      </c>
      <c r="F346" t="s">
        <v>32</v>
      </c>
      <c r="G346" t="s">
        <v>16</v>
      </c>
      <c r="H346">
        <v>1</v>
      </c>
      <c r="I346">
        <v>67.2</v>
      </c>
      <c r="J346">
        <v>67.2</v>
      </c>
      <c r="K346" t="s">
        <v>36</v>
      </c>
      <c r="L346">
        <f>sneakers_streetwear_sales_data[[#This Row],[Amount ($)]]*0.2</f>
        <v>13.440000000000001</v>
      </c>
    </row>
    <row r="347" spans="1:12" x14ac:dyDescent="0.25">
      <c r="A347" s="1">
        <v>44692</v>
      </c>
      <c r="B347" t="s">
        <v>28</v>
      </c>
      <c r="C347" t="s">
        <v>29</v>
      </c>
      <c r="D347" t="s">
        <v>25</v>
      </c>
      <c r="E347" t="s">
        <v>30</v>
      </c>
      <c r="F347" t="s">
        <v>40</v>
      </c>
      <c r="G347" t="s">
        <v>33</v>
      </c>
      <c r="H347">
        <v>1</v>
      </c>
      <c r="I347">
        <v>65.45</v>
      </c>
      <c r="J347">
        <v>65.45</v>
      </c>
      <c r="K347" t="s">
        <v>23</v>
      </c>
      <c r="L347">
        <f>sneakers_streetwear_sales_data[[#This Row],[Amount ($)]]*0.2</f>
        <v>13.090000000000002</v>
      </c>
    </row>
    <row r="348" spans="1:12" x14ac:dyDescent="0.25">
      <c r="A348" s="1">
        <v>44693</v>
      </c>
      <c r="B348" t="s">
        <v>24</v>
      </c>
      <c r="C348" t="s">
        <v>19</v>
      </c>
      <c r="D348" t="s">
        <v>25</v>
      </c>
      <c r="E348" t="s">
        <v>14</v>
      </c>
      <c r="F348" t="s">
        <v>32</v>
      </c>
      <c r="G348" t="s">
        <v>43</v>
      </c>
      <c r="H348">
        <v>1</v>
      </c>
      <c r="I348">
        <v>59.85</v>
      </c>
      <c r="J348">
        <v>59.85</v>
      </c>
      <c r="K348" t="s">
        <v>36</v>
      </c>
      <c r="L348">
        <f>sneakers_streetwear_sales_data[[#This Row],[Amount ($)]]*0.2</f>
        <v>11.97</v>
      </c>
    </row>
    <row r="349" spans="1:12" x14ac:dyDescent="0.25">
      <c r="A349" s="1">
        <v>44606</v>
      </c>
      <c r="B349" t="s">
        <v>37</v>
      </c>
      <c r="C349" t="s">
        <v>29</v>
      </c>
      <c r="D349" t="s">
        <v>38</v>
      </c>
      <c r="E349" t="s">
        <v>26</v>
      </c>
      <c r="F349" t="s">
        <v>32</v>
      </c>
      <c r="G349" t="s">
        <v>16</v>
      </c>
      <c r="H349">
        <v>1</v>
      </c>
      <c r="I349">
        <v>59.05</v>
      </c>
      <c r="J349">
        <v>59.05</v>
      </c>
      <c r="K349" t="s">
        <v>23</v>
      </c>
      <c r="L349">
        <f>sneakers_streetwear_sales_data[[#This Row],[Amount ($)]]*0.2</f>
        <v>11.81</v>
      </c>
    </row>
    <row r="350" spans="1:12" x14ac:dyDescent="0.25">
      <c r="A350" s="1">
        <v>44725</v>
      </c>
      <c r="B350" t="s">
        <v>48</v>
      </c>
      <c r="C350" t="s">
        <v>49</v>
      </c>
      <c r="D350" t="s">
        <v>50</v>
      </c>
      <c r="E350" t="s">
        <v>26</v>
      </c>
      <c r="F350" t="s">
        <v>32</v>
      </c>
      <c r="G350" t="s">
        <v>34</v>
      </c>
      <c r="H350">
        <v>1</v>
      </c>
      <c r="I350">
        <v>56.73</v>
      </c>
      <c r="J350">
        <v>56.73</v>
      </c>
      <c r="K350" t="s">
        <v>36</v>
      </c>
      <c r="L350">
        <f>sneakers_streetwear_sales_data[[#This Row],[Amount ($)]]*0.2</f>
        <v>11.346</v>
      </c>
    </row>
    <row r="351" spans="1:12" x14ac:dyDescent="0.25">
      <c r="A351" s="1">
        <v>44804</v>
      </c>
      <c r="B351" t="s">
        <v>18</v>
      </c>
      <c r="C351" t="s">
        <v>19</v>
      </c>
      <c r="D351" t="s">
        <v>20</v>
      </c>
      <c r="E351" t="s">
        <v>30</v>
      </c>
      <c r="F351" t="s">
        <v>15</v>
      </c>
      <c r="G351" t="s">
        <v>22</v>
      </c>
      <c r="H351">
        <v>1</v>
      </c>
      <c r="I351">
        <v>56.49</v>
      </c>
      <c r="J351">
        <v>56.49</v>
      </c>
      <c r="K351" t="s">
        <v>35</v>
      </c>
      <c r="L351">
        <f>sneakers_streetwear_sales_data[[#This Row],[Amount ($)]]*0.2</f>
        <v>11.298000000000002</v>
      </c>
    </row>
    <row r="352" spans="1:12" x14ac:dyDescent="0.25">
      <c r="A352" s="1">
        <v>44712</v>
      </c>
      <c r="B352" t="s">
        <v>31</v>
      </c>
      <c r="C352" t="s">
        <v>19</v>
      </c>
      <c r="D352" t="s">
        <v>25</v>
      </c>
      <c r="E352" t="s">
        <v>26</v>
      </c>
      <c r="F352" t="s">
        <v>15</v>
      </c>
      <c r="G352" t="s">
        <v>27</v>
      </c>
      <c r="H352">
        <v>1</v>
      </c>
      <c r="I352">
        <v>54.99</v>
      </c>
      <c r="J352">
        <v>54.99</v>
      </c>
      <c r="K352" t="s">
        <v>23</v>
      </c>
      <c r="L352">
        <f>sneakers_streetwear_sales_data[[#This Row],[Amount ($)]]*0.2</f>
        <v>10.998000000000001</v>
      </c>
    </row>
    <row r="353" spans="1:12" x14ac:dyDescent="0.25">
      <c r="A353" s="1">
        <v>44600</v>
      </c>
      <c r="B353" t="s">
        <v>41</v>
      </c>
      <c r="C353" t="s">
        <v>29</v>
      </c>
      <c r="D353" t="s">
        <v>42</v>
      </c>
      <c r="E353" t="s">
        <v>14</v>
      </c>
      <c r="F353" t="s">
        <v>32</v>
      </c>
      <c r="G353" t="s">
        <v>43</v>
      </c>
      <c r="H353">
        <v>1</v>
      </c>
      <c r="I353">
        <v>54.44</v>
      </c>
      <c r="J353">
        <v>54.44</v>
      </c>
      <c r="K353" t="s">
        <v>23</v>
      </c>
      <c r="L353">
        <f>sneakers_streetwear_sales_data[[#This Row],[Amount ($)]]*0.2</f>
        <v>10.888</v>
      </c>
    </row>
    <row r="354" spans="1:12" x14ac:dyDescent="0.25">
      <c r="A354" s="1">
        <v>44686</v>
      </c>
      <c r="B354" t="s">
        <v>41</v>
      </c>
      <c r="C354" t="s">
        <v>29</v>
      </c>
      <c r="D354" t="s">
        <v>42</v>
      </c>
      <c r="E354" t="s">
        <v>30</v>
      </c>
      <c r="F354" t="s">
        <v>40</v>
      </c>
      <c r="G354" t="s">
        <v>43</v>
      </c>
      <c r="H354">
        <v>1</v>
      </c>
      <c r="I354">
        <v>50.1</v>
      </c>
      <c r="J354">
        <v>50.1</v>
      </c>
      <c r="K354" t="s">
        <v>17</v>
      </c>
      <c r="L354">
        <f>sneakers_streetwear_sales_data[[#This Row],[Amount ($)]]*0.2</f>
        <v>10.020000000000001</v>
      </c>
    </row>
  </sheetData>
  <sortState xmlns:xlrd2="http://schemas.microsoft.com/office/spreadsheetml/2017/richdata2" ref="V9:W15">
    <sortCondition descending="1" ref="W9:W15"/>
  </sortState>
  <pageMargins left="0.7" right="0.7" top="0.75" bottom="0.75" header="0.3" footer="0.3"/>
  <drawing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5AAF833-BE3D-4932-AFD2-91593083F52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ANALYSIS</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Matias Salinas</dc:creator>
  <cp:lastModifiedBy>Matias Salinas</cp:lastModifiedBy>
  <dcterms:created xsi:type="dcterms:W3CDTF">2025-08-11T05:12:09Z</dcterms:created>
  <dcterms:modified xsi:type="dcterms:W3CDTF">2025-08-15T00:16:18Z</dcterms:modified>
</cp:coreProperties>
</file>